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ashi\Desktop\Data Analysis\"/>
    </mc:Choice>
  </mc:AlternateContent>
  <xr:revisionPtr revIDLastSave="0" documentId="8_{4088CB14-BEAF-4239-B6A0-268D92698F5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Sheet1!$A$36:$G$61</definedName>
  </definedNames>
  <calcPr calcId="191029"/>
  <pivotCaches>
    <pivotCache cacheId="8" r:id="rId2"/>
  </pivotCaches>
</workbook>
</file>

<file path=xl/calcChain.xml><?xml version="1.0" encoding="utf-8"?>
<calcChain xmlns="http://schemas.openxmlformats.org/spreadsheetml/2006/main">
  <c r="J225" i="1" l="1"/>
  <c r="H225" i="1"/>
  <c r="J224" i="1"/>
  <c r="H224" i="1"/>
  <c r="I224" i="1" s="1"/>
  <c r="J223" i="1"/>
  <c r="H223" i="1"/>
  <c r="J222" i="1"/>
  <c r="H222" i="1"/>
  <c r="J221" i="1"/>
  <c r="H221" i="1"/>
  <c r="J220" i="1"/>
  <c r="H220" i="1"/>
  <c r="J219" i="1"/>
  <c r="H219" i="1"/>
  <c r="J218" i="1"/>
  <c r="H218" i="1"/>
  <c r="J217" i="1"/>
  <c r="H217" i="1"/>
  <c r="J216" i="1"/>
  <c r="H216" i="1"/>
  <c r="J215" i="1"/>
  <c r="H215" i="1"/>
  <c r="J214" i="1"/>
  <c r="H214" i="1"/>
  <c r="J213" i="1"/>
  <c r="H213" i="1"/>
  <c r="J212" i="1"/>
  <c r="H212" i="1"/>
  <c r="J211" i="1"/>
  <c r="H211" i="1"/>
  <c r="J210" i="1"/>
  <c r="H210" i="1"/>
  <c r="J209" i="1"/>
  <c r="H209" i="1"/>
  <c r="J208" i="1"/>
  <c r="H208" i="1"/>
  <c r="J207" i="1"/>
  <c r="H207" i="1"/>
  <c r="J206" i="1"/>
  <c r="H206" i="1"/>
  <c r="J205" i="1"/>
  <c r="H205" i="1"/>
  <c r="J204" i="1"/>
  <c r="H204" i="1"/>
  <c r="J203" i="1"/>
  <c r="H203" i="1"/>
  <c r="J202" i="1"/>
  <c r="H202" i="1"/>
  <c r="J201" i="1"/>
  <c r="H2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B164" i="1"/>
  <c r="C134" i="1"/>
  <c r="C132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2" i="1"/>
  <c r="I202" i="1" s="1"/>
  <c r="H18" i="1"/>
  <c r="H6" i="1"/>
  <c r="H24" i="1"/>
  <c r="H13" i="1"/>
  <c r="H10" i="1"/>
  <c r="H20" i="1"/>
  <c r="H3" i="1"/>
  <c r="H12" i="1"/>
  <c r="H17" i="1"/>
  <c r="H5" i="1"/>
  <c r="H22" i="1"/>
  <c r="H15" i="1"/>
  <c r="H9" i="1"/>
  <c r="H25" i="1"/>
  <c r="H19" i="1"/>
  <c r="H4" i="1"/>
  <c r="H14" i="1"/>
  <c r="H16" i="1"/>
  <c r="H26" i="1"/>
  <c r="H21" i="1"/>
  <c r="H8" i="1"/>
  <c r="H23" i="1"/>
  <c r="H7" i="1"/>
  <c r="H11" i="1"/>
  <c r="I218" i="1" l="1"/>
  <c r="B230" i="1"/>
  <c r="J230" i="1" s="1"/>
  <c r="I220" i="1"/>
  <c r="I214" i="1"/>
  <c r="I19" i="1"/>
  <c r="I205" i="1"/>
  <c r="I222" i="1"/>
  <c r="I207" i="1"/>
  <c r="I215" i="1"/>
  <c r="I223" i="1"/>
  <c r="I208" i="1"/>
  <c r="I216" i="1"/>
  <c r="I201" i="1"/>
  <c r="I209" i="1"/>
  <c r="I217" i="1"/>
  <c r="I210" i="1"/>
  <c r="I225" i="1"/>
  <c r="I213" i="1"/>
  <c r="I221" i="1"/>
  <c r="I206" i="1"/>
  <c r="I203" i="1"/>
  <c r="I211" i="1"/>
  <c r="I219" i="1"/>
  <c r="I98" i="1"/>
  <c r="J177" i="1"/>
  <c r="I204" i="1"/>
  <c r="I212" i="1"/>
  <c r="I114" i="1"/>
  <c r="I115" i="1"/>
  <c r="I116" i="1"/>
  <c r="I20" i="1"/>
  <c r="J180" i="1"/>
  <c r="I8" i="1"/>
  <c r="I102" i="1"/>
  <c r="J181" i="1"/>
  <c r="I21" i="1"/>
  <c r="I13" i="1"/>
  <c r="I103" i="1"/>
  <c r="J182" i="1"/>
  <c r="I24" i="1"/>
  <c r="I104" i="1"/>
  <c r="I16" i="1"/>
  <c r="J168" i="1"/>
  <c r="J171" i="1"/>
  <c r="I99" i="1"/>
  <c r="J178" i="1"/>
  <c r="I100" i="1"/>
  <c r="J179" i="1"/>
  <c r="I23" i="1"/>
  <c r="I101" i="1"/>
  <c r="I117" i="1"/>
  <c r="I10" i="1"/>
  <c r="I26" i="1"/>
  <c r="J183" i="1"/>
  <c r="I6" i="1"/>
  <c r="I105" i="1"/>
  <c r="J184" i="1"/>
  <c r="I14" i="1"/>
  <c r="I18" i="1"/>
  <c r="I106" i="1"/>
  <c r="J169" i="1"/>
  <c r="J185" i="1"/>
  <c r="I4" i="1"/>
  <c r="I2" i="1"/>
  <c r="I107" i="1"/>
  <c r="J170" i="1"/>
  <c r="J186" i="1"/>
  <c r="I108" i="1"/>
  <c r="J187" i="1"/>
  <c r="I93" i="1"/>
  <c r="I109" i="1"/>
  <c r="J172" i="1"/>
  <c r="J188" i="1"/>
  <c r="I94" i="1"/>
  <c r="I110" i="1"/>
  <c r="J173" i="1"/>
  <c r="J189" i="1"/>
  <c r="I95" i="1"/>
  <c r="I111" i="1"/>
  <c r="J174" i="1"/>
  <c r="J190" i="1"/>
  <c r="I96" i="1"/>
  <c r="I112" i="1"/>
  <c r="J175" i="1"/>
  <c r="J191" i="1"/>
  <c r="I97" i="1"/>
  <c r="I113" i="1"/>
  <c r="J176" i="1"/>
  <c r="J192" i="1"/>
  <c r="I25" i="1"/>
  <c r="I15" i="1"/>
  <c r="I12" i="1"/>
  <c r="I22" i="1"/>
  <c r="I7" i="1"/>
  <c r="I11" i="1"/>
  <c r="I9" i="1"/>
  <c r="I5" i="1"/>
  <c r="I17" i="1"/>
  <c r="I3" i="1"/>
  <c r="F230" i="1" l="1"/>
</calcChain>
</file>

<file path=xl/sharedStrings.xml><?xml version="1.0" encoding="utf-8"?>
<sst xmlns="http://schemas.openxmlformats.org/spreadsheetml/2006/main" count="330" uniqueCount="69">
  <si>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</si>
  <si>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</si>
  <si>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</si>
  <si>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</si>
  <si>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</si>
  <si>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</si>
  <si>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</si>
  <si>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</si>
  <si>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</si>
  <si>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</si>
  <si>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</si>
  <si>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</si>
  <si>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</si>
  <si>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</si>
  <si>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</si>
  <si>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</si>
  <si>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</si>
  <si>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</si>
  <si>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</si>
  <si>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</si>
  <si>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</si>
  <si>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</si>
  <si>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</si>
  <si>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</si>
  <si>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</si>
  <si>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</si>
  <si>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</si>
  <si>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</si>
  <si>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</si>
  <si>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</si>
  <si>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</si>
  <si>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</si>
  <si>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</si>
  <si>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</si>
  <si>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</si>
  <si>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</si>
  <si>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</si>
  <si>
    <t xml:space="preserve">*Note: This is the original table loaded from the dataset provided in the assignment question pdf. The answers of all the questions are done below* </t>
  </si>
  <si>
    <t>Question1- Top 5 Productive Employees</t>
  </si>
  <si>
    <t>Question2- Department-Wise Productivity Consistency</t>
  </si>
  <si>
    <t>Row Labels</t>
  </si>
  <si>
    <t>Grand Total</t>
  </si>
  <si>
    <t>Marketing has the least variation in productivity with a Standard Deviation of 2.24.</t>
  </si>
  <si>
    <t>StdDev of Productivity_Score</t>
  </si>
  <si>
    <t>Question3- Productivity Efficiency Index (PEI)</t>
  </si>
  <si>
    <t>PEI</t>
  </si>
  <si>
    <t>Rank</t>
  </si>
  <si>
    <t>I have created the Productivity Efficiency Index (PEI) in the original table by using the formula:</t>
  </si>
  <si>
    <t>PEI = (Productivity Score × Performance Rating) / Hours Worked.</t>
  </si>
  <si>
    <r>
      <rPr>
        <b/>
        <sz val="11"/>
        <color theme="1"/>
        <rFont val="Arial"/>
        <family val="2"/>
        <scheme val="minor"/>
      </rPr>
      <t>Additionally,</t>
    </r>
    <r>
      <rPr>
        <sz val="11"/>
        <color theme="1"/>
        <rFont val="Arial"/>
        <family val="2"/>
        <scheme val="minor"/>
      </rPr>
      <t xml:space="preserve"> I have ranked all employees based on their PEI using the RANK function and displayed the top 3 employees using Filter function.</t>
    </r>
  </si>
  <si>
    <t>Question4- Correlation Analysis</t>
  </si>
  <si>
    <t>a: Question 1</t>
  </si>
  <si>
    <r>
      <rPr>
        <sz val="16"/>
        <color theme="1"/>
        <rFont val="Arial"/>
        <family val="2"/>
        <scheme val="minor"/>
      </rPr>
      <t xml:space="preserve">Correlation between </t>
    </r>
    <r>
      <rPr>
        <b/>
        <sz val="16"/>
        <color theme="1"/>
        <rFont val="Arial"/>
        <family val="2"/>
        <scheme val="minor"/>
      </rPr>
      <t>Hours_Worked</t>
    </r>
    <r>
      <rPr>
        <sz val="16"/>
        <color theme="1"/>
        <rFont val="Arial"/>
        <family val="2"/>
        <scheme val="minor"/>
      </rPr>
      <t xml:space="preserve"> and </t>
    </r>
    <r>
      <rPr>
        <b/>
        <sz val="16"/>
        <color theme="1"/>
        <rFont val="Arial"/>
        <family val="2"/>
        <scheme val="minor"/>
      </rPr>
      <t>Performance_Rating</t>
    </r>
  </si>
  <si>
    <r>
      <t xml:space="preserve">Correlation between </t>
    </r>
    <r>
      <rPr>
        <b/>
        <sz val="16"/>
        <color theme="1"/>
        <rFont val="Arial"/>
        <family val="2"/>
        <scheme val="minor"/>
      </rPr>
      <t>Tasks_Completed</t>
    </r>
    <r>
      <rPr>
        <sz val="16"/>
        <color theme="1"/>
        <rFont val="Arial"/>
        <family val="2"/>
        <scheme val="minor"/>
      </rPr>
      <t xml:space="preserve"> and </t>
    </r>
    <r>
      <rPr>
        <b/>
        <sz val="16"/>
        <color theme="1"/>
        <rFont val="Arial"/>
        <family val="2"/>
        <scheme val="minor"/>
      </rPr>
      <t>Performance_Rating</t>
    </r>
  </si>
  <si>
    <t>Conclusion:</t>
  </si>
  <si>
    <r>
      <t xml:space="preserve">The correlation between </t>
    </r>
    <r>
      <rPr>
        <b/>
        <sz val="18"/>
        <color theme="1"/>
        <rFont val="Arial"/>
        <family val="2"/>
        <scheme val="minor"/>
      </rPr>
      <t>Tasks_Completed</t>
    </r>
    <r>
      <rPr>
        <sz val="18"/>
        <color theme="1"/>
        <rFont val="Arial"/>
        <family val="2"/>
        <scheme val="minor"/>
      </rPr>
      <t xml:space="preserve"> and </t>
    </r>
    <r>
      <rPr>
        <b/>
        <sz val="18"/>
        <color theme="1"/>
        <rFont val="Arial"/>
        <family val="2"/>
        <scheme val="minor"/>
      </rPr>
      <t>Performance_Rating (0.9574)</t>
    </r>
  </si>
  <si>
    <r>
      <t xml:space="preserve">is slightly </t>
    </r>
    <r>
      <rPr>
        <b/>
        <sz val="18"/>
        <color theme="1"/>
        <rFont val="Arial"/>
        <family val="2"/>
        <scheme val="minor"/>
      </rPr>
      <t>higher</t>
    </r>
    <r>
      <rPr>
        <sz val="18"/>
        <color theme="1"/>
        <rFont val="Arial"/>
        <family val="2"/>
        <scheme val="minor"/>
      </rPr>
      <t xml:space="preserve"> than the </t>
    </r>
    <r>
      <rPr>
        <b/>
        <sz val="18"/>
        <color theme="1"/>
        <rFont val="Arial"/>
        <family val="2"/>
        <scheme val="minor"/>
      </rPr>
      <t>correlation</t>
    </r>
    <r>
      <rPr>
        <sz val="18"/>
        <color theme="1"/>
        <rFont val="Arial"/>
        <family val="2"/>
        <scheme val="minor"/>
      </rPr>
      <t xml:space="preserve"> between </t>
    </r>
    <r>
      <rPr>
        <b/>
        <sz val="18"/>
        <color theme="1"/>
        <rFont val="Arial"/>
        <family val="2"/>
        <scheme val="minor"/>
      </rPr>
      <t>Hours_Worked</t>
    </r>
    <r>
      <rPr>
        <sz val="18"/>
        <color theme="1"/>
        <rFont val="Arial"/>
        <family val="2"/>
        <scheme val="minor"/>
      </rPr>
      <t xml:space="preserve"> and </t>
    </r>
    <r>
      <rPr>
        <b/>
        <sz val="18"/>
        <color theme="1"/>
        <rFont val="Arial"/>
        <family val="2"/>
        <scheme val="minor"/>
      </rPr>
      <t>Performance_Rating (0.9462).</t>
    </r>
  </si>
  <si>
    <r>
      <t xml:space="preserve">Therefore, </t>
    </r>
    <r>
      <rPr>
        <b/>
        <sz val="18"/>
        <color theme="1"/>
        <rFont val="Arial"/>
        <family val="2"/>
        <scheme val="minor"/>
      </rPr>
      <t>Tasks_Completed</t>
    </r>
    <r>
      <rPr>
        <sz val="18"/>
        <color theme="1"/>
        <rFont val="Arial"/>
        <family val="2"/>
        <scheme val="minor"/>
      </rPr>
      <t xml:space="preserve"> has a stronger influence on </t>
    </r>
    <r>
      <rPr>
        <b/>
        <sz val="18"/>
        <color theme="1"/>
        <rFont val="Arial"/>
        <family val="2"/>
        <scheme val="minor"/>
      </rPr>
      <t>Performance_Rating.</t>
    </r>
  </si>
  <si>
    <t>b: Question 2</t>
  </si>
  <si>
    <r>
      <t xml:space="preserve">The scatter plot shows a </t>
    </r>
    <r>
      <rPr>
        <b/>
        <sz val="14"/>
        <color theme="1"/>
        <rFont val="Arial"/>
        <family val="2"/>
        <scheme val="minor"/>
      </rPr>
      <t>positive</t>
    </r>
    <r>
      <rPr>
        <sz val="14"/>
        <color theme="1"/>
        <rFont val="Arial"/>
        <family val="2"/>
        <scheme val="minor"/>
      </rPr>
      <t xml:space="preserve"> correlation between </t>
    </r>
    <r>
      <rPr>
        <b/>
        <sz val="14"/>
        <color theme="1"/>
        <rFont val="Arial"/>
        <family val="2"/>
        <scheme val="minor"/>
      </rPr>
      <t>Hours Worked</t>
    </r>
    <r>
      <rPr>
        <sz val="14"/>
        <color theme="1"/>
        <rFont val="Arial"/>
        <family val="2"/>
        <scheme val="minor"/>
      </rPr>
      <t xml:space="preserve"> and </t>
    </r>
    <r>
      <rPr>
        <b/>
        <sz val="14"/>
        <color theme="1"/>
        <rFont val="Arial"/>
        <family val="2"/>
        <scheme val="minor"/>
      </rPr>
      <t>Productivity Score.</t>
    </r>
  </si>
  <si>
    <r>
      <t xml:space="preserve">As the number of </t>
    </r>
    <r>
      <rPr>
        <b/>
        <sz val="14"/>
        <color theme="1"/>
        <rFont val="Arial"/>
        <family val="2"/>
        <scheme val="minor"/>
      </rPr>
      <t>hours worked increases</t>
    </r>
    <r>
      <rPr>
        <sz val="14"/>
        <color theme="1"/>
        <rFont val="Arial"/>
        <family val="2"/>
        <scheme val="minor"/>
      </rPr>
      <t xml:space="preserve">, the </t>
    </r>
    <r>
      <rPr>
        <b/>
        <sz val="14"/>
        <color theme="1"/>
        <rFont val="Arial"/>
        <family val="2"/>
        <scheme val="minor"/>
      </rPr>
      <t>productivity score</t>
    </r>
    <r>
      <rPr>
        <sz val="14"/>
        <color theme="1"/>
        <rFont val="Arial"/>
        <family val="2"/>
        <scheme val="minor"/>
      </rPr>
      <t xml:space="preserve"> generally </t>
    </r>
    <r>
      <rPr>
        <b/>
        <sz val="14"/>
        <color theme="1"/>
        <rFont val="Arial"/>
        <family val="2"/>
        <scheme val="minor"/>
      </rPr>
      <t>tends to increase.</t>
    </r>
  </si>
  <si>
    <t>Question5- Underutilized High Performers</t>
  </si>
  <si>
    <t>Average Hours_Worked</t>
  </si>
  <si>
    <t>Tasks per Hour</t>
  </si>
  <si>
    <t>Question6- Task Per Hour Efficiency</t>
  </si>
  <si>
    <t>Highest Tasks_per_Hour</t>
  </si>
  <si>
    <t>Most Task-Efficient Employee (Name)</t>
  </si>
  <si>
    <t>Department of the Top Employee</t>
  </si>
  <si>
    <r>
      <rPr>
        <b/>
        <sz val="12"/>
        <color theme="1"/>
        <rFont val="Arial"/>
        <family val="2"/>
        <scheme val="minor"/>
      </rPr>
      <t>Comparison of Performance Score and Rating:</t>
    </r>
    <r>
      <rPr>
        <sz val="12"/>
        <color theme="1"/>
        <rFont val="Arial"/>
        <family val="2"/>
        <scheme val="minor"/>
      </rPr>
      <t xml:space="preserve">
</t>
    </r>
    <r>
      <rPr>
        <b/>
        <sz val="12"/>
        <color theme="1"/>
        <rFont val="Arial"/>
        <family val="2"/>
        <scheme val="minor"/>
      </rPr>
      <t>Arjun</t>
    </r>
    <r>
      <rPr>
        <sz val="12"/>
        <color theme="1"/>
        <rFont val="Arial"/>
        <family val="2"/>
        <scheme val="minor"/>
      </rPr>
      <t xml:space="preserve">, the most task-efficient employee with a </t>
    </r>
    <r>
      <rPr>
        <b/>
        <sz val="12"/>
        <color theme="1"/>
        <rFont val="Arial"/>
        <family val="2"/>
        <scheme val="minor"/>
      </rPr>
      <t>Tasks per Hour of 1.744</t>
    </r>
    <r>
      <rPr>
        <sz val="12"/>
        <color theme="1"/>
        <rFont val="Arial"/>
        <family val="2"/>
        <scheme val="minor"/>
      </rPr>
      <t xml:space="preserve">, has a </t>
    </r>
    <r>
      <rPr>
        <b/>
        <sz val="12"/>
        <color theme="1"/>
        <rFont val="Arial"/>
        <family val="2"/>
        <scheme val="minor"/>
      </rPr>
      <t>Performance Score of 93</t>
    </r>
    <r>
      <rPr>
        <sz val="12"/>
        <color theme="1"/>
        <rFont val="Arial"/>
        <family val="2"/>
        <scheme val="minor"/>
      </rPr>
      <t xml:space="preserve"> and a </t>
    </r>
    <r>
      <rPr>
        <b/>
        <sz val="12"/>
        <color theme="1"/>
        <rFont val="Arial"/>
        <family val="2"/>
        <scheme val="minor"/>
      </rPr>
      <t>Performance Rating of 5</t>
    </r>
    <r>
      <rPr>
        <sz val="12"/>
        <color theme="1"/>
        <rFont val="Arial"/>
        <family val="2"/>
        <scheme val="minor"/>
      </rPr>
      <t xml:space="preserve">. This indicates a strong correlation between task efficiency and overall performance. Arjun's high Tasks per Hour suggests not only efficiency but also high productivity, as reflected by the </t>
    </r>
    <r>
      <rPr>
        <b/>
        <sz val="12"/>
        <color theme="1"/>
        <rFont val="Arial"/>
        <family val="2"/>
        <scheme val="minor"/>
      </rPr>
      <t>Performance Score of 93</t>
    </r>
    <r>
      <rPr>
        <sz val="12"/>
        <color theme="1"/>
        <rFont val="Arial"/>
        <family val="2"/>
        <scheme val="minor"/>
      </rPr>
      <t xml:space="preserve">. The </t>
    </r>
    <r>
      <rPr>
        <b/>
        <sz val="12"/>
        <color theme="1"/>
        <rFont val="Arial"/>
        <family val="2"/>
        <scheme val="minor"/>
      </rPr>
      <t>Performance Rating of 5</t>
    </r>
    <r>
      <rPr>
        <sz val="12"/>
        <color theme="1"/>
        <rFont val="Arial"/>
        <family val="2"/>
        <scheme val="minor"/>
      </rPr>
      <t xml:space="preserve">, being the highest, further reinforces that Arjun is performing exceptionally well in their role within the </t>
    </r>
    <r>
      <rPr>
        <b/>
        <sz val="12"/>
        <color theme="1"/>
        <rFont val="Arial"/>
        <family val="2"/>
        <scheme val="minor"/>
      </rPr>
      <t>Marketing</t>
    </r>
    <r>
      <rPr>
        <sz val="12"/>
        <color theme="1"/>
        <rFont val="Arial"/>
        <family val="2"/>
        <scheme val="minor"/>
      </rPr>
      <t xml:space="preserve"> department.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</si>
</sst>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6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3" borderId="0" xfId="1" applyFill="1"/>
    <xf numFmtId="0" fontId="0" fillId="3" borderId="0" xfId="0" applyFill="1"/>
    <xf numFmtId="0" fontId="5" fillId="3" borderId="0" xfId="1" applyFont="1" applyFill="1"/>
    <xf numFmtId="0" fontId="0" fillId="0" borderId="0" xfId="0" pivotButton="1"/>
    <xf numFmtId="0" fontId="0" fillId="0" borderId="0" xfId="0" applyAlignment="1">
      <alignment horizontal="left"/>
    </xf>
    <xf numFmtId="0" fontId="6" fillId="3" borderId="0" xfId="1" applyFont="1" applyFill="1"/>
    <xf numFmtId="0" fontId="3" fillId="2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0" xfId="0" applyFill="1"/>
    <xf numFmtId="0" fontId="2" fillId="0" borderId="0" xfId="1"/>
    <xf numFmtId="0" fontId="2" fillId="4" borderId="0" xfId="1" applyFill="1"/>
    <xf numFmtId="0" fontId="4" fillId="4" borderId="0" xfId="1" applyFont="1" applyFill="1"/>
    <xf numFmtId="0" fontId="4" fillId="3" borderId="0" xfId="1" applyFont="1" applyFill="1"/>
    <xf numFmtId="0" fontId="0" fillId="5" borderId="0" xfId="0" applyFill="1"/>
    <xf numFmtId="0" fontId="11" fillId="3" borderId="0" xfId="1" applyFont="1" applyFill="1"/>
    <xf numFmtId="0" fontId="12" fillId="3" borderId="0" xfId="1" applyFont="1" applyFill="1" applyAlignment="1">
      <alignment vertical="center"/>
    </xf>
    <xf numFmtId="0" fontId="7" fillId="6" borderId="0" xfId="1" applyFont="1" applyFill="1"/>
    <xf numFmtId="0" fontId="14" fillId="8" borderId="0" xfId="0" applyFont="1" applyFill="1"/>
    <xf numFmtId="0" fontId="9" fillId="3" borderId="0" xfId="1" applyFont="1" applyFill="1"/>
    <xf numFmtId="0" fontId="15" fillId="6" borderId="0" xfId="0" applyFont="1" applyFill="1"/>
    <xf numFmtId="0" fontId="16" fillId="5" borderId="0" xfId="0" applyFont="1" applyFill="1"/>
    <xf numFmtId="0" fontId="10" fillId="3" borderId="0" xfId="1" applyFont="1" applyFill="1" applyAlignment="1">
      <alignment horizontal="center" vertical="center"/>
    </xf>
    <xf numFmtId="0" fontId="7" fillId="7" borderId="0" xfId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7" fillId="7" borderId="0" xfId="2" applyFont="1" applyFill="1" applyAlignment="1">
      <alignment horizontal="center"/>
    </xf>
    <xf numFmtId="0" fontId="17" fillId="3" borderId="0" xfId="2" applyFont="1" applyFill="1" applyAlignment="1">
      <alignment horizontal="center" vertical="top" wrapText="1"/>
    </xf>
    <xf numFmtId="0" fontId="19" fillId="5" borderId="0" xfId="0" applyFont="1" applyFill="1"/>
  </cellXfs>
  <cellStyles count="3">
    <cellStyle name="Normal" xfId="0" builtinId="0"/>
    <cellStyle name="Normal 2" xfId="1" xr:uid="{F99A8EF6-906C-4B26-AF26-5932650DAF72}"/>
    <cellStyle name="Normal 3" xfId="2" xr:uid="{889853A9-BE6E-4E5D-8C21-F856FBF53607}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F2DCDB"/>
          <bgColor rgb="FFF2DCDB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C0504D"/>
          <bgColor rgb="FFC0504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84627179334542"/>
          <c:y val="4.4549266247379454E-2"/>
          <c:w val="0.81883562879382343"/>
          <c:h val="0.85605469717228744"/>
        </c:manualLayout>
      </c:layout>
      <c:barChart>
        <c:barDir val="bar"/>
        <c:grouping val="stacked"/>
        <c:varyColors val="0"/>
        <c:ser>
          <c:idx val="2"/>
          <c:order val="2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Sheet1!$B$37:$B$41</c:f>
              <c:strCache>
                <c:ptCount val="5"/>
                <c:pt idx="0">
                  <c:v>Rahul</c:v>
                </c:pt>
                <c:pt idx="1">
                  <c:v>Tanya</c:v>
                </c:pt>
                <c:pt idx="2">
                  <c:v>Rakesh</c:v>
                </c:pt>
                <c:pt idx="3">
                  <c:v>Neeraj</c:v>
                </c:pt>
                <c:pt idx="4">
                  <c:v>Riya</c:v>
                </c:pt>
              </c:strCache>
            </c:strRef>
          </c:cat>
          <c:val>
            <c:numRef>
              <c:f>Sheet1!$F$37:$F$41</c:f>
              <c:numCache>
                <c:formatCode>General</c:formatCode>
                <c:ptCount val="5"/>
                <c:pt idx="0">
                  <c:v>100</c:v>
                </c:pt>
                <c:pt idx="1">
                  <c:v>99</c:v>
                </c:pt>
                <c:pt idx="2">
                  <c:v>98</c:v>
                </c:pt>
                <c:pt idx="3">
                  <c:v>96</c:v>
                </c:pt>
                <c:pt idx="4">
                  <c:v>95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E2EE-46F9-975E-8B85408E0A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39118160"/>
        <c:axId val="133911768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Sheet1!$B$37:$B$41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Tanya</c:v>
                      </c:pt>
                      <c:pt idx="2">
                        <c:v>Rakesh</c:v>
                      </c:pt>
                      <c:pt idx="3">
                        <c:v>Neeraj</c:v>
                      </c:pt>
                      <c:pt idx="4">
                        <c:v>Riya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Sheet1!$D$37:$D$41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50</c:v>
                      </c:pt>
                      <c:pt idx="1">
                        <c:v>47</c:v>
                      </c:pt>
                      <c:pt idx="2">
                        <c:v>48</c:v>
                      </c:pt>
                      <c:pt idx="3">
                        <c:v>46</c:v>
                      </c:pt>
                      <c:pt idx="4">
                        <c:v>45</c:v>
                      </c:pt>
                    </c:numCache>
                  </c:numRef>
                </c:val>
                <c:extLst>
                  <c:ext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0-E2EE-46F9-975E-8B85408E0AD2}"/>
                  </c:ext>
                </c:extLst>
              </c15:ser>
            </c15:filteredBarSeries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4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4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4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Sheet1!$B$37:$B$41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Tanya</c:v>
                      </c:pt>
                      <c:pt idx="2">
                        <c:v>Rakesh</c:v>
                      </c:pt>
                      <c:pt idx="3">
                        <c:v>Neeraj</c:v>
                      </c:pt>
                      <c:pt idx="4">
                        <c:v>Riya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Sheet1!$E$37:$E$41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80</c:v>
                      </c:pt>
                      <c:pt idx="1">
                        <c:v>79</c:v>
                      </c:pt>
                      <c:pt idx="2">
                        <c:v>78</c:v>
                      </c:pt>
                      <c:pt idx="3">
                        <c:v>77</c:v>
                      </c:pt>
                      <c:pt idx="4">
                        <c:v>75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1-E2EE-46F9-975E-8B85408E0AD2}"/>
                  </c:ext>
                </c:extLst>
              </c15:ser>
            </c15:filteredBarSeries>
            <c15:filteredBarSeries>
              <c15:ser>
                <c:idx val="3"/>
                <c:order val="3"/>
                <c:spPr>
                  <a:gradFill rotWithShape="1">
                    <a:gsLst>
                      <a:gs pos="0">
                        <a:schemeClr val="accent2">
                          <a:lumMod val="60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lumMod val="60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60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lt1">
                              <a:lumMod val="8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lt1">
                                <a:lumMod val="95000"/>
                                <a:alpha val="54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Sheet1!$B$37:$B$41</c15:sqref>
                        </c15:formulaRef>
                      </c:ext>
                    </c:extLst>
                    <c:strCache>
                      <c:ptCount val="5"/>
                      <c:pt idx="0">
                        <c:v>Rahul</c:v>
                      </c:pt>
                      <c:pt idx="1">
                        <c:v>Tanya</c:v>
                      </c:pt>
                      <c:pt idx="2">
                        <c:v>Rakesh</c:v>
                      </c:pt>
                      <c:pt idx="3">
                        <c:v>Neeraj</c:v>
                      </c:pt>
                      <c:pt idx="4">
                        <c:v>Riya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Sheet1!$G$37:$G$41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filteredSeriesTitle>
                      <c15:tx>
                        <c:strRef>
                          <c:extLst>
                            <c:ext uri="{02D57815-91ED-43cb-92C2-25804820EDAC}">
                              <c15:formulaRef>
                                <c15:sqref> </c15:sqref>
                              </c15:formulaRef>
                            </c:ext>
                          </c:extLst>
                        </c:strRef>
                      </c15:tx>
                    </c15:filteredSeriesTitle>
                  </c:ext>
                  <c:ext xmlns:c16="http://schemas.microsoft.com/office/drawing/2014/chart" uri="{C3380CC4-5D6E-409C-BE32-E72D297353CC}">
                    <c16:uniqueId val="{00000003-E2EE-46F9-975E-8B85408E0AD2}"/>
                  </c:ext>
                </c:extLst>
              </c15:ser>
            </c15:filteredBarSeries>
          </c:ext>
        </c:extLst>
      </c:barChart>
      <c:catAx>
        <c:axId val="13391181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117680"/>
        <c:crosses val="autoZero"/>
        <c:auto val="1"/>
        <c:lblAlgn val="ctr"/>
        <c:lblOffset val="100"/>
        <c:noMultiLvlLbl val="0"/>
      </c:catAx>
      <c:valAx>
        <c:axId val="133911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11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relationship between Hours_Worked and Productivity_Score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Productivity_Score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Sheet1!$D$2:$D$26</c:f>
              <c:numCache>
                <c:formatCode>General</c:formatCode>
                <c:ptCount val="25"/>
                <c:pt idx="0">
                  <c:v>40</c:v>
                </c:pt>
                <c:pt idx="1">
                  <c:v>42</c:v>
                </c:pt>
                <c:pt idx="2">
                  <c:v>43</c:v>
                </c:pt>
                <c:pt idx="3">
                  <c:v>44</c:v>
                </c:pt>
                <c:pt idx="4">
                  <c:v>45</c:v>
                </c:pt>
                <c:pt idx="5">
                  <c:v>47</c:v>
                </c:pt>
                <c:pt idx="6">
                  <c:v>46</c:v>
                </c:pt>
                <c:pt idx="7">
                  <c:v>48</c:v>
                </c:pt>
                <c:pt idx="8">
                  <c:v>50</c:v>
                </c:pt>
                <c:pt idx="9">
                  <c:v>35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41</c:v>
                </c:pt>
                <c:pt idx="14">
                  <c:v>36</c:v>
                </c:pt>
                <c:pt idx="15">
                  <c:v>29</c:v>
                </c:pt>
                <c:pt idx="16">
                  <c:v>30</c:v>
                </c:pt>
                <c:pt idx="17">
                  <c:v>31</c:v>
                </c:pt>
                <c:pt idx="18">
                  <c:v>28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25</c:v>
                </c:pt>
                <c:pt idx="23">
                  <c:v>26</c:v>
                </c:pt>
                <c:pt idx="24">
                  <c:v>27</c:v>
                </c:pt>
              </c:numCache>
            </c:numRef>
          </c:xVal>
          <c:yVal>
            <c:numRef>
              <c:f>Sheet1!$F$2:$F$26</c:f>
              <c:numCache>
                <c:formatCode>General</c:formatCode>
                <c:ptCount val="25"/>
                <c:pt idx="0">
                  <c:v>90</c:v>
                </c:pt>
                <c:pt idx="1">
                  <c:v>92</c:v>
                </c:pt>
                <c:pt idx="2">
                  <c:v>93</c:v>
                </c:pt>
                <c:pt idx="3">
                  <c:v>94</c:v>
                </c:pt>
                <c:pt idx="4">
                  <c:v>95</c:v>
                </c:pt>
                <c:pt idx="5">
                  <c:v>99</c:v>
                </c:pt>
                <c:pt idx="6">
                  <c:v>96</c:v>
                </c:pt>
                <c:pt idx="7">
                  <c:v>98</c:v>
                </c:pt>
                <c:pt idx="8">
                  <c:v>100</c:v>
                </c:pt>
                <c:pt idx="9">
                  <c:v>80</c:v>
                </c:pt>
                <c:pt idx="10">
                  <c:v>83</c:v>
                </c:pt>
                <c:pt idx="11">
                  <c:v>85</c:v>
                </c:pt>
                <c:pt idx="12">
                  <c:v>87</c:v>
                </c:pt>
                <c:pt idx="13">
                  <c:v>89</c:v>
                </c:pt>
                <c:pt idx="14">
                  <c:v>78</c:v>
                </c:pt>
                <c:pt idx="15">
                  <c:v>68</c:v>
                </c:pt>
                <c:pt idx="16">
                  <c:v>70</c:v>
                </c:pt>
                <c:pt idx="17">
                  <c:v>72</c:v>
                </c:pt>
                <c:pt idx="18">
                  <c:v>65</c:v>
                </c:pt>
                <c:pt idx="19">
                  <c:v>74</c:v>
                </c:pt>
                <c:pt idx="20">
                  <c:v>75</c:v>
                </c:pt>
                <c:pt idx="21">
                  <c:v>76</c:v>
                </c:pt>
                <c:pt idx="22">
                  <c:v>60</c:v>
                </c:pt>
                <c:pt idx="23">
                  <c:v>62</c:v>
                </c:pt>
                <c:pt idx="24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B-4B36-9058-134701860E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6039392"/>
        <c:axId val="1446038912"/>
      </c:scatterChart>
      <c:valAx>
        <c:axId val="144603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Hours_Worked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38912"/>
        <c:crosses val="autoZero"/>
        <c:crossBetween val="midCat"/>
      </c:valAx>
      <c:valAx>
        <c:axId val="144603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Productivity_Score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039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297180</xdr:colOff>
      <xdr:row>35</xdr:row>
      <xdr:rowOff>22860</xdr:rowOff>
    </xdr:from>
    <xdr:to>
      <xdr:col>13</xdr:col>
      <xdr:colOff>266700</xdr:colOff>
      <xdr:row>71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6C34A-D25C-28F7-D1B9-69A55A48A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30480</xdr:colOff>
      <xdr:row>140</xdr:row>
      <xdr:rowOff>182880</xdr:rowOff>
    </xdr:from>
    <xdr:to>
      <xdr:col>6</xdr:col>
      <xdr:colOff>0</xdr:colOff>
      <xdr:row>155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316CC3-458C-84E3-813A-199F0D7DF1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hish Saini" refreshedDate="46184.727254166668" createdVersion="8" refreshedVersion="8" minRefreshableVersion="3" recordCount="25" xr:uid="{C33BB858-4F88-425D-ABC6-13CB40B48A38}">
  <cacheSource type="worksheet">
    <worksheetSource ref="A1:G26" sheet="Sheet1"/>
  </cacheSource>
  <cacheFields count="7">
    <cacheField name="Employee_ID" numFmtId="0">
      <sharedItems containsSemiMixedTypes="0" containsString="0" containsNumber="1" containsInteger="1" minValue="101" maxValue="125"/>
    </cacheField>
    <cacheField name="Name" numFmtId="0">
      <sharedItems/>
    </cacheField>
    <cacheField name="Department" numFmtId="0">
      <sharedItems count="5">
        <s v="Sales"/>
        <s v="Marketing"/>
        <s v="HR"/>
        <s v="IT"/>
        <s v="Finance"/>
      </sharedItems>
    </cacheField>
    <cacheField name="Hours_Worked" numFmtId="0">
      <sharedItems containsSemiMixedTypes="0" containsString="0" containsNumber="1" containsInteger="1" minValue="25" maxValue="50"/>
    </cacheField>
    <cacheField name="Tasks_Completed" numFmtId="0">
      <sharedItems containsSemiMixedTypes="0" containsString="0" containsNumber="1" containsInteger="1" minValue="30" maxValue="80"/>
    </cacheField>
    <cacheField name="Productivity_Score" numFmtId="0">
      <sharedItems containsSemiMixedTypes="0" containsString="0" containsNumber="1" containsInteger="1" minValue="60" maxValue="100"/>
    </cacheField>
    <cacheField name="Performance_Rating" numFmtId="0">
      <sharedItems containsSemiMixedTypes="0" containsString="0" containsNumber="1" containsInteger="1" minValue="2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01"/>
    <s v="Aakash"/>
    <x v="0"/>
    <n v="35"/>
    <n v="50"/>
    <n v="80"/>
    <n v="4"/>
  </r>
  <r>
    <n v="102"/>
    <s v="Meera"/>
    <x v="1"/>
    <n v="40"/>
    <n v="65"/>
    <n v="90"/>
    <n v="5"/>
  </r>
  <r>
    <n v="103"/>
    <s v="Suresh"/>
    <x v="2"/>
    <n v="30"/>
    <n v="40"/>
    <n v="70"/>
    <n v="3"/>
  </r>
  <r>
    <n v="104"/>
    <s v="Riya"/>
    <x v="3"/>
    <n v="45"/>
    <n v="75"/>
    <n v="95"/>
    <n v="5"/>
  </r>
  <r>
    <n v="105"/>
    <s v="Prakash"/>
    <x v="4"/>
    <n v="25"/>
    <n v="30"/>
    <n v="60"/>
    <n v="2"/>
  </r>
  <r>
    <n v="106"/>
    <s v="Neha"/>
    <x v="0"/>
    <n v="38"/>
    <n v="58"/>
    <n v="85"/>
    <n v="4"/>
  </r>
  <r>
    <n v="107"/>
    <s v="Rahul"/>
    <x v="3"/>
    <n v="50"/>
    <n v="80"/>
    <n v="100"/>
    <n v="5"/>
  </r>
  <r>
    <n v="108"/>
    <s v="Priya"/>
    <x v="2"/>
    <n v="28"/>
    <n v="35"/>
    <n v="65"/>
    <n v="3"/>
  </r>
  <r>
    <n v="109"/>
    <s v="Kunal"/>
    <x v="1"/>
    <n v="42"/>
    <n v="70"/>
    <n v="92"/>
    <n v="5"/>
  </r>
  <r>
    <n v="110"/>
    <s v="Sneha"/>
    <x v="0"/>
    <n v="37"/>
    <n v="55"/>
    <n v="83"/>
    <n v="4"/>
  </r>
  <r>
    <n v="111"/>
    <s v="Amit"/>
    <x v="4"/>
    <n v="29"/>
    <n v="38"/>
    <n v="68"/>
    <n v="3"/>
  </r>
  <r>
    <n v="112"/>
    <s v="Pooja"/>
    <x v="1"/>
    <n v="44"/>
    <n v="73"/>
    <n v="94"/>
    <n v="5"/>
  </r>
  <r>
    <n v="113"/>
    <s v="Varun"/>
    <x v="2"/>
    <n v="33"/>
    <n v="45"/>
    <n v="75"/>
    <n v="3"/>
  </r>
  <r>
    <n v="114"/>
    <s v="Deepak"/>
    <x v="0"/>
    <n v="41"/>
    <n v="66"/>
    <n v="89"/>
    <n v="4"/>
  </r>
  <r>
    <n v="115"/>
    <s v="Rakesh"/>
    <x v="3"/>
    <n v="48"/>
    <n v="78"/>
    <n v="98"/>
    <n v="5"/>
  </r>
  <r>
    <n v="116"/>
    <s v="Kavita"/>
    <x v="4"/>
    <n v="26"/>
    <n v="32"/>
    <n v="62"/>
    <n v="2"/>
  </r>
  <r>
    <n v="117"/>
    <s v="Sanjay"/>
    <x v="2"/>
    <n v="31"/>
    <n v="42"/>
    <n v="72"/>
    <n v="3"/>
  </r>
  <r>
    <n v="118"/>
    <s v="Arjun"/>
    <x v="1"/>
    <n v="43"/>
    <n v="75"/>
    <n v="93"/>
    <n v="5"/>
  </r>
  <r>
    <n v="119"/>
    <s v="Anjali"/>
    <x v="3"/>
    <n v="39"/>
    <n v="60"/>
    <n v="87"/>
    <n v="4"/>
  </r>
  <r>
    <n v="120"/>
    <s v="Suman"/>
    <x v="0"/>
    <n v="36"/>
    <n v="52"/>
    <n v="78"/>
    <n v="4"/>
  </r>
  <r>
    <n v="121"/>
    <s v="Mohan"/>
    <x v="4"/>
    <n v="27"/>
    <n v="34"/>
    <n v="64"/>
    <n v="2"/>
  </r>
  <r>
    <n v="122"/>
    <s v="Jyoti"/>
    <x v="2"/>
    <n v="32"/>
    <n v="44"/>
    <n v="74"/>
    <n v="3"/>
  </r>
  <r>
    <n v="123"/>
    <s v="Neeraj"/>
    <x v="1"/>
    <n v="46"/>
    <n v="77"/>
    <n v="96"/>
    <n v="5"/>
  </r>
  <r>
    <n v="124"/>
    <s v="Akash"/>
    <x v="0"/>
    <n v="34"/>
    <n v="48"/>
    <n v="76"/>
    <n v="3"/>
  </r>
  <r>
    <n v="125"/>
    <s v="Tanya"/>
    <x v="3"/>
    <n v="47"/>
    <n v="79"/>
    <n v="9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045E3C-4C2C-412B-85D0-01B8276AE28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B85" firstHeaderRow="1" firstDataRow="1" firstDataCol="1"/>
  <pivotFields count="7">
    <pivotField showAll="0"/>
    <pivotField showAll="0"/>
    <pivotField axis="axisRow"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tdDev of Productivity_Score" fld="5" subtotal="stdDev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2E528F-3B4C-440D-834E-F937A979CFDA}" name="Table3" displayName="Table3" ref="A1:J26" totalsRowShown="0">
  <autoFilter ref="A1:J26" xr:uid="{722E528F-3B4C-440D-834E-F937A979CFDA}"/>
  <tableColumns count="10">
    <tableColumn id="1" xr3:uid="{99127C1F-57CF-49C8-A183-20D57B5292D0}" name="Employee_ID"/>
    <tableColumn id="2" xr3:uid="{B15B826F-CDC9-426D-AB81-C711A35063A1}" name="Name"/>
    <tableColumn id="3" xr3:uid="{9E6782A3-75D0-4E24-A92E-66331930FC14}" name="Department"/>
    <tableColumn id="4" xr3:uid="{6262EE60-97AC-4446-942A-F6656F87EA91}" name="Hours_Worked"/>
    <tableColumn id="5" xr3:uid="{DE4A6AC0-08D0-4631-BB4E-BEA45BA01B1E}" name="Tasks_Completed"/>
    <tableColumn id="6" xr3:uid="{B5BA272D-2CB2-4526-B107-CC70A7B47786}" name="Productivity_Score"/>
    <tableColumn id="7" xr3:uid="{8D873A80-0B4F-4305-949D-C258120D00D0}" name="Performance_Rating"/>
    <tableColumn id="8" xr3:uid="{3535EE5C-406C-4EBB-8932-CF9EE5302F9B}" name="PEI">
      <calculatedColumnFormula>(F2 * G2) / D2</calculatedColumnFormula>
    </tableColumn>
    <tableColumn id="9" xr3:uid="{53D73893-E8EB-49CC-83AF-74B6426101EA}" name="Rank">
      <calculatedColumnFormula>RANK(H2,$H$2:$H$26,0)</calculatedColumnFormula>
    </tableColumn>
    <tableColumn id="10" xr3:uid="{4028D676-C600-4015-8543-6671A2F366DA}" name="Tasks per Hour">
      <calculatedColumnFormula>(Table3[Tasks_Completed] / D2:D25)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212C8B8-CEF6-4703-868F-CC40D6CFFC6B}" name="Table4" displayName="Table4" ref="A36:G61" totalsRowShown="0" headerRowDxfId="46" dataDxfId="44" headerRowBorderDxfId="45" tableBorderDxfId="43" totalsRowBorderDxfId="42">
  <autoFilter ref="A36:G61" xr:uid="{00000000-0001-0000-0000-000000000000}">
    <filterColumn colId="5">
      <top10 val="5" filterVal="95"/>
    </filterColumn>
  </autoFilter>
  <tableColumns count="7">
    <tableColumn id="1" xr3:uid="{92D741DF-E61B-4281-9C2F-54B99AA3DC59}" name="Employee_ID" dataDxfId="41"/>
    <tableColumn id="2" xr3:uid="{D1B7A612-0E33-4DB4-8B05-67F208BBB8F9}" name="Name" dataDxfId="40"/>
    <tableColumn id="3" xr3:uid="{05850D5E-116D-4EAF-8EFA-1DF48DCB6945}" name="Department" dataDxfId="39"/>
    <tableColumn id="4" xr3:uid="{8D692B18-42BB-465E-B971-A1735A73DF43}" name="Hours_Worked" dataDxfId="38"/>
    <tableColumn id="5" xr3:uid="{26A5573C-14BA-4405-8066-A67782D0E3FD}" name="Tasks_Completed" dataDxfId="37"/>
    <tableColumn id="6" xr3:uid="{881C65A1-D69D-4DDE-97E0-D1571E2C5CA5}" name="Productivity_Score" dataDxfId="36"/>
    <tableColumn id="7" xr3:uid="{9D65848C-66FF-4B18-ACDE-BC5546888B3A}" name="Performance_Rating" dataDxfId="3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F73224-FE30-4D7D-A828-9BA10BCD0164}" name="Table5" displayName="Table5" ref="A92:I117" totalsRowShown="0" headerRowDxfId="34" dataDxfId="33" tableBorderDxfId="32">
  <autoFilter ref="A92:I117" xr:uid="{A8F73224-FE30-4D7D-A828-9BA10BCD0164}">
    <filterColumn colId="7">
      <top10 val="3" filterVal="10.813953488372093"/>
    </filterColumn>
  </autoFilter>
  <sortState xmlns:xlrd2="http://schemas.microsoft.com/office/spreadsheetml/2017/richdata2" ref="A93:I117">
    <sortCondition ref="I93:I117"/>
  </sortState>
  <tableColumns count="9">
    <tableColumn id="1" xr3:uid="{CA9D0E6A-90A1-4D34-8CAD-B8958E08624B}" name="Employee_ID" dataDxfId="31"/>
    <tableColumn id="2" xr3:uid="{412E3368-70EB-493B-8E64-FC1AF1A03D66}" name="Name" dataDxfId="30"/>
    <tableColumn id="3" xr3:uid="{EE712E0A-DAC1-4264-95BD-A1AEA97FEB7D}" name="Department" dataDxfId="29"/>
    <tableColumn id="4" xr3:uid="{B4AEE0A4-FBC3-4F94-99FC-19CC5F46E4FE}" name="Hours_Worked" dataDxfId="28"/>
    <tableColumn id="5" xr3:uid="{FF0045B3-C063-47C0-99D4-4800A7138CDD}" name="Tasks_Completed" dataDxfId="27"/>
    <tableColumn id="6" xr3:uid="{42797D32-2C18-4EAA-929E-DD2044D35DF5}" name="Productivity_Score" dataDxfId="26"/>
    <tableColumn id="7" xr3:uid="{40970392-4F7D-4B4A-9BB9-36354A4250C0}" name="Performance_Rating" dataDxfId="25"/>
    <tableColumn id="8" xr3:uid="{DD82EA3C-1C52-45B7-B5B6-32F3B145E0A4}" name="PEI" dataDxfId="24">
      <calculatedColumnFormula>(F93 * G93) / D93</calculatedColumnFormula>
    </tableColumn>
    <tableColumn id="9" xr3:uid="{CB91CFAE-1865-4FA5-9287-4D5414AEBCCB}" name="Rank">
      <calculatedColumnFormula>RANK(H93,$H$2:$H$26,0)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75DF76-CB7F-4412-8936-0992907D834F}" name="Table37" displayName="Table37" ref="B167:J192" totalsRowShown="0" headerRowDxfId="23" dataDxfId="22" tableBorderDxfId="21">
  <autoFilter ref="B167:J192" xr:uid="{D475DF76-CB7F-4412-8936-0992907D834F}">
    <filterColumn colId="3">
      <dynamicFilter type="belowAverage" val="37.04"/>
    </filterColumn>
    <filterColumn colId="6">
      <customFilters>
        <customFilter operator="greaterThanOrEqual" val="4"/>
      </customFilters>
    </filterColumn>
  </autoFilter>
  <tableColumns count="9">
    <tableColumn id="1" xr3:uid="{F95C18CC-FBC0-46F1-94F8-B6B02D091911}" name="Employee_ID" dataDxfId="20"/>
    <tableColumn id="2" xr3:uid="{A4E399CC-7F90-48CB-9C3C-27D098B78770}" name="Name" dataDxfId="19"/>
    <tableColumn id="3" xr3:uid="{182A832F-6AD9-4EEC-9663-726D5A7A2397}" name="Department" dataDxfId="18"/>
    <tableColumn id="4" xr3:uid="{56F8E9AC-1CD3-4C79-A8AF-8BD4C5EAAD82}" name="Hours_Worked" dataDxfId="17"/>
    <tableColumn id="5" xr3:uid="{092CF75E-FEB5-4A9B-9AEF-504CA227A9F9}" name="Tasks_Completed" dataDxfId="16"/>
    <tableColumn id="6" xr3:uid="{2FA14D4F-8936-4CDB-B3EF-91D9F7661B1E}" name="Productivity_Score" dataDxfId="15"/>
    <tableColumn id="7" xr3:uid="{383B7987-1289-43CA-A75C-4C1623A17BE7}" name="Performance_Rating" dataDxfId="14"/>
    <tableColumn id="8" xr3:uid="{14BE0183-85E9-4E7B-A619-4F5D16F154E8}" name="PEI" dataDxfId="13">
      <calculatedColumnFormula>(G168 * H168) / E168</calculatedColumnFormula>
    </tableColumn>
    <tableColumn id="9" xr3:uid="{5CCF29BB-8DE3-45F7-8A9E-1D1C56843280}" name="Rank">
      <calculatedColumnFormula>RANK(I168,$H$2:$H$26,0)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73BD081-F805-4CC0-9A7C-EED983F1D0F9}" name="Table38" displayName="Table38" ref="A200:J225" totalsRowShown="0" headerRowDxfId="12" dataDxfId="11" tableBorderDxfId="10">
  <autoFilter ref="A200:J225" xr:uid="{873BD081-F805-4CC0-9A7C-EED983F1D0F9}"/>
  <tableColumns count="10">
    <tableColumn id="1" xr3:uid="{102DC842-DDAF-46F6-A0B4-0B5E95161D88}" name="Employee_ID" dataDxfId="2"/>
    <tableColumn id="2" xr3:uid="{04A4078E-9BB9-4E14-98E1-086FF67111E3}" name="Name" dataDxfId="0"/>
    <tableColumn id="3" xr3:uid="{E67207B8-057E-4DF5-BBFF-F20A2797C383}" name="Department" dataDxfId="1"/>
    <tableColumn id="4" xr3:uid="{D9FC7203-0CB7-44B9-9ACA-506E35DA966D}" name="Hours_Worked" dataDxfId="3"/>
    <tableColumn id="5" xr3:uid="{82888940-554F-4F24-BF0D-42D9649A3A34}" name="Tasks_Completed" dataDxfId="9"/>
    <tableColumn id="6" xr3:uid="{AC7DAF24-7C4F-4023-8FCC-A68BF71F77EA}" name="Productivity_Score" dataDxfId="8"/>
    <tableColumn id="7" xr3:uid="{09BD84C0-0EE2-48B4-91E1-C1E5BF8BA3E1}" name="Performance_Rating" dataDxfId="7"/>
    <tableColumn id="8" xr3:uid="{E51BD72B-EA9B-4220-940F-EBF7CD942C64}" name="PEI" dataDxfId="6">
      <calculatedColumnFormula>(F201 * G201) / D201</calculatedColumnFormula>
    </tableColumn>
    <tableColumn id="9" xr3:uid="{E75E7B85-FD20-43A5-90D0-8F6B9A2EC43E}" name="Rank" dataDxfId="5">
      <calculatedColumnFormula>RANK(H201,$H$2:$H$26,0)</calculatedColumnFormula>
    </tableColumn>
    <tableColumn id="10" xr3:uid="{F232EB92-EE93-4B1E-B3EC-8EA7D62A17FA}" name="Tasks per Hour" dataDxfId="4">
      <calculatedColumnFormula>(Table38[Tasks_Completed] / D201:D224)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  <outlinePr summaryBelow="0" summaryRight="0"/>
  </sheetPr>
  <dimension ref="A1:R240"/>
  <sheetViews>
    <sheetView tabSelected="1" topLeftCell="A22" zoomScale="70" zoomScaleNormal="70" workbookViewId="0">
      <selection activeCell="M201" sqref="M201"/>
    </sheetView>
  </sheetViews>
  <sheetFormatPr defaultColWidth="12.6640625" defaultRowHeight="15.75" customHeight="1" x14ac:dyDescent="0.25"/>
  <cols>
    <col min="1" max="1" width="14" customWidth="1"/>
    <col min="2" max="2" width="27.21875" bestFit="1" customWidth="1"/>
    <col min="3" max="3" width="14.77734375" customWidth="1"/>
    <col min="4" max="4" width="15.44140625" customWidth="1"/>
    <col min="5" max="5" width="17.6640625" customWidth="1"/>
    <col min="6" max="6" width="18.77734375" customWidth="1"/>
    <col min="7" max="7" width="21.21875" customWidth="1"/>
    <col min="9" max="9" width="12" bestFit="1" customWidth="1"/>
    <col min="10" max="10" width="17.88671875" bestFit="1" customWidth="1"/>
    <col min="11" max="11" width="15.77734375" customWidth="1"/>
  </cols>
  <sheetData>
    <row r="1" spans="1:10" ht="15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45</v>
      </c>
      <c r="I1" t="s">
        <v>46</v>
      </c>
      <c r="J1" t="s">
        <v>63</v>
      </c>
    </row>
    <row r="2" spans="1:10" ht="15.75" customHeight="1" x14ac:dyDescent="0.25">
      <c r="A2">
        <v>102</v>
      </c>
      <c r="B2" t="s">
        <v>9</v>
      </c>
      <c r="C2" t="s">
        <v>10</v>
      </c>
      <c r="D2">
        <v>40</v>
      </c>
      <c r="E2">
        <v>65</v>
      </c>
      <c r="F2">
        <v>90</v>
      </c>
      <c r="G2">
        <v>5</v>
      </c>
      <c r="H2">
        <f t="shared" ref="H2:H26" si="0">(F2 * G2) / D2</f>
        <v>11.25</v>
      </c>
      <c r="I2">
        <f t="shared" ref="I2:I26" si="1">RANK(H2,$H$2:$H$26,0)</f>
        <v>1</v>
      </c>
      <c r="J2">
        <f>(Table3[Tasks_Completed] / D2:D25)</f>
        <v>1.625</v>
      </c>
    </row>
    <row r="3" spans="1:10" ht="15.75" customHeight="1" x14ac:dyDescent="0.25">
      <c r="A3">
        <v>109</v>
      </c>
      <c r="B3" t="s">
        <v>20</v>
      </c>
      <c r="C3" t="s">
        <v>10</v>
      </c>
      <c r="D3">
        <v>42</v>
      </c>
      <c r="E3">
        <v>70</v>
      </c>
      <c r="F3">
        <v>92</v>
      </c>
      <c r="G3">
        <v>5</v>
      </c>
      <c r="H3">
        <f t="shared" si="0"/>
        <v>10.952380952380953</v>
      </c>
      <c r="I3">
        <f t="shared" si="1"/>
        <v>2</v>
      </c>
      <c r="J3">
        <f>(Table3[Tasks_Completed] / D3:D26)</f>
        <v>1.6666666666666667</v>
      </c>
    </row>
    <row r="4" spans="1:10" ht="15.75" customHeight="1" x14ac:dyDescent="0.25">
      <c r="A4">
        <v>118</v>
      </c>
      <c r="B4" t="s">
        <v>29</v>
      </c>
      <c r="C4" t="s">
        <v>10</v>
      </c>
      <c r="D4">
        <v>43</v>
      </c>
      <c r="E4">
        <v>75</v>
      </c>
      <c r="F4">
        <v>93</v>
      </c>
      <c r="G4">
        <v>5</v>
      </c>
      <c r="H4">
        <f t="shared" si="0"/>
        <v>10.813953488372093</v>
      </c>
      <c r="I4">
        <f t="shared" si="1"/>
        <v>3</v>
      </c>
      <c r="J4">
        <f>(Table3[Tasks_Completed] / D4:D27)</f>
        <v>1.7441860465116279</v>
      </c>
    </row>
    <row r="5" spans="1:10" ht="15.75" customHeight="1" x14ac:dyDescent="0.25">
      <c r="A5">
        <v>112</v>
      </c>
      <c r="B5" t="s">
        <v>23</v>
      </c>
      <c r="C5" t="s">
        <v>10</v>
      </c>
      <c r="D5">
        <v>44</v>
      </c>
      <c r="E5">
        <v>73</v>
      </c>
      <c r="F5">
        <v>94</v>
      </c>
      <c r="G5">
        <v>5</v>
      </c>
      <c r="H5">
        <f t="shared" si="0"/>
        <v>10.681818181818182</v>
      </c>
      <c r="I5">
        <f t="shared" si="1"/>
        <v>4</v>
      </c>
      <c r="J5">
        <f>(Table3[Tasks_Completed] / D5:D28)</f>
        <v>1.6590909090909092</v>
      </c>
    </row>
    <row r="6" spans="1:10" ht="15.75" customHeight="1" x14ac:dyDescent="0.25">
      <c r="A6">
        <v>104</v>
      </c>
      <c r="B6" t="s">
        <v>13</v>
      </c>
      <c r="C6" t="s">
        <v>14</v>
      </c>
      <c r="D6">
        <v>45</v>
      </c>
      <c r="E6">
        <v>75</v>
      </c>
      <c r="F6">
        <v>95</v>
      </c>
      <c r="G6">
        <v>5</v>
      </c>
      <c r="H6">
        <f t="shared" si="0"/>
        <v>10.555555555555555</v>
      </c>
      <c r="I6">
        <f t="shared" si="1"/>
        <v>5</v>
      </c>
      <c r="J6">
        <f>(Table3[Tasks_Completed] / D6:D29)</f>
        <v>1.6666666666666667</v>
      </c>
    </row>
    <row r="7" spans="1:10" ht="15.75" customHeight="1" x14ac:dyDescent="0.25">
      <c r="A7">
        <v>125</v>
      </c>
      <c r="B7" t="s">
        <v>36</v>
      </c>
      <c r="C7" t="s">
        <v>14</v>
      </c>
      <c r="D7">
        <v>47</v>
      </c>
      <c r="E7">
        <v>79</v>
      </c>
      <c r="F7">
        <v>99</v>
      </c>
      <c r="G7">
        <v>5</v>
      </c>
      <c r="H7">
        <f t="shared" si="0"/>
        <v>10.531914893617021</v>
      </c>
      <c r="I7">
        <f t="shared" si="1"/>
        <v>6</v>
      </c>
      <c r="J7">
        <f>(Table3[Tasks_Completed] / D7:D30)</f>
        <v>1.6808510638297873</v>
      </c>
    </row>
    <row r="8" spans="1:10" ht="15.75" customHeight="1" x14ac:dyDescent="0.25">
      <c r="A8">
        <v>123</v>
      </c>
      <c r="B8" t="s">
        <v>34</v>
      </c>
      <c r="C8" t="s">
        <v>10</v>
      </c>
      <c r="D8">
        <v>46</v>
      </c>
      <c r="E8">
        <v>77</v>
      </c>
      <c r="F8">
        <v>96</v>
      </c>
      <c r="G8">
        <v>5</v>
      </c>
      <c r="H8">
        <f t="shared" si="0"/>
        <v>10.434782608695652</v>
      </c>
      <c r="I8">
        <f t="shared" si="1"/>
        <v>7</v>
      </c>
      <c r="J8">
        <f>(Table3[Tasks_Completed] / D8:D31)</f>
        <v>1.673913043478261</v>
      </c>
    </row>
    <row r="9" spans="1:10" ht="15.75" customHeight="1" x14ac:dyDescent="0.25">
      <c r="A9">
        <v>115</v>
      </c>
      <c r="B9" t="s">
        <v>26</v>
      </c>
      <c r="C9" t="s">
        <v>14</v>
      </c>
      <c r="D9">
        <v>48</v>
      </c>
      <c r="E9">
        <v>78</v>
      </c>
      <c r="F9">
        <v>98</v>
      </c>
      <c r="G9">
        <v>5</v>
      </c>
      <c r="H9">
        <f t="shared" si="0"/>
        <v>10.208333333333334</v>
      </c>
      <c r="I9">
        <f t="shared" si="1"/>
        <v>8</v>
      </c>
      <c r="J9">
        <f>(Table3[Tasks_Completed] / D9:D32)</f>
        <v>1.625</v>
      </c>
    </row>
    <row r="10" spans="1:10" ht="15.75" customHeight="1" x14ac:dyDescent="0.25">
      <c r="A10">
        <v>107</v>
      </c>
      <c r="B10" t="s">
        <v>18</v>
      </c>
      <c r="C10" t="s">
        <v>14</v>
      </c>
      <c r="D10">
        <v>50</v>
      </c>
      <c r="E10">
        <v>80</v>
      </c>
      <c r="F10">
        <v>100</v>
      </c>
      <c r="G10">
        <v>5</v>
      </c>
      <c r="H10">
        <f t="shared" si="0"/>
        <v>10</v>
      </c>
      <c r="I10">
        <f t="shared" si="1"/>
        <v>9</v>
      </c>
      <c r="J10">
        <f>(Table3[Tasks_Completed] / D10:D33)</f>
        <v>1.6</v>
      </c>
    </row>
    <row r="11" spans="1:10" ht="15.75" customHeight="1" x14ac:dyDescent="0.25">
      <c r="A11">
        <v>101</v>
      </c>
      <c r="B11" t="s">
        <v>7</v>
      </c>
      <c r="C11" t="s">
        <v>8</v>
      </c>
      <c r="D11">
        <v>35</v>
      </c>
      <c r="E11">
        <v>50</v>
      </c>
      <c r="F11">
        <v>80</v>
      </c>
      <c r="G11">
        <v>4</v>
      </c>
      <c r="H11">
        <f t="shared" si="0"/>
        <v>9.1428571428571423</v>
      </c>
      <c r="I11">
        <f t="shared" si="1"/>
        <v>10</v>
      </c>
      <c r="J11">
        <f>(Table3[Tasks_Completed] / D11:D34)</f>
        <v>1.4285714285714286</v>
      </c>
    </row>
    <row r="12" spans="1:10" ht="15.75" customHeight="1" x14ac:dyDescent="0.25">
      <c r="A12">
        <v>110</v>
      </c>
      <c r="B12" t="s">
        <v>21</v>
      </c>
      <c r="C12" t="s">
        <v>8</v>
      </c>
      <c r="D12">
        <v>37</v>
      </c>
      <c r="E12">
        <v>55</v>
      </c>
      <c r="F12">
        <v>83</v>
      </c>
      <c r="G12">
        <v>4</v>
      </c>
      <c r="H12">
        <f t="shared" si="0"/>
        <v>8.9729729729729737</v>
      </c>
      <c r="I12">
        <f t="shared" si="1"/>
        <v>11</v>
      </c>
      <c r="J12">
        <f>(Table3[Tasks_Completed] / D12:D35)</f>
        <v>1.4864864864864864</v>
      </c>
    </row>
    <row r="13" spans="1:10" ht="15.75" customHeight="1" x14ac:dyDescent="0.25">
      <c r="A13">
        <v>106</v>
      </c>
      <c r="B13" t="s">
        <v>17</v>
      </c>
      <c r="C13" t="s">
        <v>8</v>
      </c>
      <c r="D13">
        <v>38</v>
      </c>
      <c r="E13">
        <v>58</v>
      </c>
      <c r="F13">
        <v>85</v>
      </c>
      <c r="G13">
        <v>4</v>
      </c>
      <c r="H13">
        <f t="shared" si="0"/>
        <v>8.9473684210526319</v>
      </c>
      <c r="I13">
        <f t="shared" si="1"/>
        <v>12</v>
      </c>
      <c r="J13">
        <f>(Table3[Tasks_Completed] / D13:D36)</f>
        <v>1.5263157894736843</v>
      </c>
    </row>
    <row r="14" spans="1:10" ht="15.75" customHeight="1" x14ac:dyDescent="0.25">
      <c r="A14">
        <v>119</v>
      </c>
      <c r="B14" t="s">
        <v>30</v>
      </c>
      <c r="C14" t="s">
        <v>14</v>
      </c>
      <c r="D14">
        <v>39</v>
      </c>
      <c r="E14">
        <v>60</v>
      </c>
      <c r="F14">
        <v>87</v>
      </c>
      <c r="G14">
        <v>4</v>
      </c>
      <c r="H14">
        <f t="shared" si="0"/>
        <v>8.9230769230769234</v>
      </c>
      <c r="I14">
        <f t="shared" si="1"/>
        <v>13</v>
      </c>
      <c r="J14">
        <f>(Table3[Tasks_Completed] / D14:D37)</f>
        <v>1.5384615384615385</v>
      </c>
    </row>
    <row r="15" spans="1:10" ht="15.75" customHeight="1" x14ac:dyDescent="0.25">
      <c r="A15">
        <v>114</v>
      </c>
      <c r="B15" t="s">
        <v>25</v>
      </c>
      <c r="C15" t="s">
        <v>8</v>
      </c>
      <c r="D15">
        <v>41</v>
      </c>
      <c r="E15">
        <v>66</v>
      </c>
      <c r="F15">
        <v>89</v>
      </c>
      <c r="G15">
        <v>4</v>
      </c>
      <c r="H15">
        <f t="shared" si="0"/>
        <v>8.6829268292682933</v>
      </c>
      <c r="I15">
        <f t="shared" si="1"/>
        <v>14</v>
      </c>
      <c r="J15">
        <f>(Table3[Tasks_Completed] / D15:D38)</f>
        <v>1.6097560975609757</v>
      </c>
    </row>
    <row r="16" spans="1:10" ht="15.75" customHeight="1" x14ac:dyDescent="0.25">
      <c r="A16">
        <v>120</v>
      </c>
      <c r="B16" t="s">
        <v>31</v>
      </c>
      <c r="C16" t="s">
        <v>8</v>
      </c>
      <c r="D16">
        <v>36</v>
      </c>
      <c r="E16">
        <v>52</v>
      </c>
      <c r="F16">
        <v>78</v>
      </c>
      <c r="G16">
        <v>4</v>
      </c>
      <c r="H16">
        <f t="shared" si="0"/>
        <v>8.6666666666666661</v>
      </c>
      <c r="I16">
        <f t="shared" si="1"/>
        <v>15</v>
      </c>
      <c r="J16">
        <f>(Table3[Tasks_Completed] / D16:D39)</f>
        <v>1.4444444444444444</v>
      </c>
    </row>
    <row r="17" spans="1:13" ht="15.75" customHeight="1" x14ac:dyDescent="0.25">
      <c r="A17">
        <v>111</v>
      </c>
      <c r="B17" t="s">
        <v>22</v>
      </c>
      <c r="C17" t="s">
        <v>16</v>
      </c>
      <c r="D17">
        <v>29</v>
      </c>
      <c r="E17">
        <v>38</v>
      </c>
      <c r="F17">
        <v>68</v>
      </c>
      <c r="G17">
        <v>3</v>
      </c>
      <c r="H17">
        <f t="shared" si="0"/>
        <v>7.0344827586206895</v>
      </c>
      <c r="I17">
        <f t="shared" si="1"/>
        <v>16</v>
      </c>
      <c r="J17">
        <f>(Table3[Tasks_Completed] / D17:D40)</f>
        <v>1.3103448275862069</v>
      </c>
    </row>
    <row r="18" spans="1:13" ht="15.75" customHeight="1" x14ac:dyDescent="0.25">
      <c r="A18">
        <v>103</v>
      </c>
      <c r="B18" t="s">
        <v>11</v>
      </c>
      <c r="C18" t="s">
        <v>12</v>
      </c>
      <c r="D18">
        <v>30</v>
      </c>
      <c r="E18">
        <v>40</v>
      </c>
      <c r="F18">
        <v>70</v>
      </c>
      <c r="G18">
        <v>3</v>
      </c>
      <c r="H18">
        <f t="shared" si="0"/>
        <v>7</v>
      </c>
      <c r="I18">
        <f t="shared" si="1"/>
        <v>17</v>
      </c>
      <c r="J18">
        <f>(Table3[Tasks_Completed] / D18:D41)</f>
        <v>1.3333333333333333</v>
      </c>
    </row>
    <row r="19" spans="1:13" ht="15.75" customHeight="1" x14ac:dyDescent="0.25">
      <c r="A19">
        <v>117</v>
      </c>
      <c r="B19" t="s">
        <v>28</v>
      </c>
      <c r="C19" t="s">
        <v>12</v>
      </c>
      <c r="D19">
        <v>31</v>
      </c>
      <c r="E19">
        <v>42</v>
      </c>
      <c r="F19">
        <v>72</v>
      </c>
      <c r="G19">
        <v>3</v>
      </c>
      <c r="H19">
        <f t="shared" si="0"/>
        <v>6.967741935483871</v>
      </c>
      <c r="I19">
        <f t="shared" si="1"/>
        <v>18</v>
      </c>
      <c r="J19">
        <f>(Table3[Tasks_Completed] / D19:D42)</f>
        <v>1.3548387096774193</v>
      </c>
    </row>
    <row r="20" spans="1:13" ht="15.75" customHeight="1" x14ac:dyDescent="0.25">
      <c r="A20">
        <v>108</v>
      </c>
      <c r="B20" t="s">
        <v>19</v>
      </c>
      <c r="C20" t="s">
        <v>12</v>
      </c>
      <c r="D20">
        <v>28</v>
      </c>
      <c r="E20">
        <v>35</v>
      </c>
      <c r="F20">
        <v>65</v>
      </c>
      <c r="G20">
        <v>3</v>
      </c>
      <c r="H20">
        <f t="shared" si="0"/>
        <v>6.9642857142857144</v>
      </c>
      <c r="I20">
        <f t="shared" si="1"/>
        <v>19</v>
      </c>
      <c r="J20">
        <f>(Table3[Tasks_Completed] / D20:D43)</f>
        <v>1.25</v>
      </c>
    </row>
    <row r="21" spans="1:13" ht="15.75" customHeight="1" x14ac:dyDescent="0.25">
      <c r="A21">
        <v>122</v>
      </c>
      <c r="B21" t="s">
        <v>33</v>
      </c>
      <c r="C21" t="s">
        <v>12</v>
      </c>
      <c r="D21">
        <v>32</v>
      </c>
      <c r="E21">
        <v>44</v>
      </c>
      <c r="F21">
        <v>74</v>
      </c>
      <c r="G21">
        <v>3</v>
      </c>
      <c r="H21">
        <f t="shared" si="0"/>
        <v>6.9375</v>
      </c>
      <c r="I21">
        <f t="shared" si="1"/>
        <v>20</v>
      </c>
      <c r="J21">
        <f>(Table3[Tasks_Completed] / D21:D44)</f>
        <v>1.375</v>
      </c>
    </row>
    <row r="22" spans="1:13" ht="15.75" customHeight="1" x14ac:dyDescent="0.25">
      <c r="A22">
        <v>113</v>
      </c>
      <c r="B22" t="s">
        <v>24</v>
      </c>
      <c r="C22" t="s">
        <v>12</v>
      </c>
      <c r="D22">
        <v>33</v>
      </c>
      <c r="E22">
        <v>45</v>
      </c>
      <c r="F22">
        <v>75</v>
      </c>
      <c r="G22">
        <v>3</v>
      </c>
      <c r="H22">
        <f t="shared" si="0"/>
        <v>6.8181818181818183</v>
      </c>
      <c r="I22">
        <f t="shared" si="1"/>
        <v>21</v>
      </c>
      <c r="J22">
        <f>(Table3[Tasks_Completed] / D22:D45)</f>
        <v>1.3636363636363635</v>
      </c>
    </row>
    <row r="23" spans="1:13" ht="15.75" customHeight="1" x14ac:dyDescent="0.25">
      <c r="A23">
        <v>124</v>
      </c>
      <c r="B23" t="s">
        <v>35</v>
      </c>
      <c r="C23" t="s">
        <v>8</v>
      </c>
      <c r="D23">
        <v>34</v>
      </c>
      <c r="E23">
        <v>48</v>
      </c>
      <c r="F23">
        <v>76</v>
      </c>
      <c r="G23">
        <v>3</v>
      </c>
      <c r="H23">
        <f t="shared" si="0"/>
        <v>6.7058823529411766</v>
      </c>
      <c r="I23">
        <f t="shared" si="1"/>
        <v>22</v>
      </c>
      <c r="J23">
        <f>(Table3[Tasks_Completed] / D23:D46)</f>
        <v>1.411764705882353</v>
      </c>
    </row>
    <row r="24" spans="1:13" ht="15.75" customHeight="1" x14ac:dyDescent="0.25">
      <c r="A24">
        <v>105</v>
      </c>
      <c r="B24" t="s">
        <v>15</v>
      </c>
      <c r="C24" t="s">
        <v>16</v>
      </c>
      <c r="D24">
        <v>25</v>
      </c>
      <c r="E24">
        <v>30</v>
      </c>
      <c r="F24">
        <v>60</v>
      </c>
      <c r="G24">
        <v>2</v>
      </c>
      <c r="H24">
        <f t="shared" si="0"/>
        <v>4.8</v>
      </c>
      <c r="I24">
        <f t="shared" si="1"/>
        <v>23</v>
      </c>
      <c r="J24">
        <f>(Table3[Tasks_Completed] / D24:D47)</f>
        <v>1.2</v>
      </c>
    </row>
    <row r="25" spans="1:13" ht="15.75" customHeight="1" x14ac:dyDescent="0.25">
      <c r="A25">
        <v>116</v>
      </c>
      <c r="B25" t="s">
        <v>27</v>
      </c>
      <c r="C25" t="s">
        <v>16</v>
      </c>
      <c r="D25">
        <v>26</v>
      </c>
      <c r="E25">
        <v>32</v>
      </c>
      <c r="F25">
        <v>62</v>
      </c>
      <c r="G25">
        <v>2</v>
      </c>
      <c r="H25">
        <f t="shared" si="0"/>
        <v>4.7692307692307692</v>
      </c>
      <c r="I25">
        <f t="shared" si="1"/>
        <v>24</v>
      </c>
      <c r="J25">
        <f>(Table3[Tasks_Completed] / D25:D48)</f>
        <v>1.2307692307692308</v>
      </c>
    </row>
    <row r="26" spans="1:13" ht="15.75" customHeight="1" x14ac:dyDescent="0.25">
      <c r="A26">
        <v>121</v>
      </c>
      <c r="B26" t="s">
        <v>32</v>
      </c>
      <c r="C26" t="s">
        <v>16</v>
      </c>
      <c r="D26">
        <v>27</v>
      </c>
      <c r="E26">
        <v>34</v>
      </c>
      <c r="F26">
        <v>64</v>
      </c>
      <c r="G26">
        <v>2</v>
      </c>
      <c r="H26">
        <f t="shared" si="0"/>
        <v>4.7407407407407405</v>
      </c>
      <c r="I26">
        <f t="shared" si="1"/>
        <v>25</v>
      </c>
      <c r="J26">
        <f>(Table3[Tasks_Completed] / D26:D49)</f>
        <v>1.2592592592592593</v>
      </c>
    </row>
    <row r="30" spans="1:13" ht="15.75" customHeight="1" x14ac:dyDescent="0.25">
      <c r="C30" s="3" t="s">
        <v>37</v>
      </c>
      <c r="D30" s="3"/>
      <c r="E30" s="3"/>
      <c r="F30" s="3"/>
      <c r="G30" s="3"/>
      <c r="H30" s="3"/>
      <c r="I30" s="3"/>
      <c r="J30" s="3"/>
      <c r="K30" s="3"/>
      <c r="L30" s="3"/>
      <c r="M30" s="3"/>
    </row>
    <row r="32" spans="1:13" ht="13.2" x14ac:dyDescent="0.25"/>
    <row r="33" spans="1:18" ht="24.6" x14ac:dyDescent="0.4">
      <c r="A33" s="4"/>
      <c r="B33" s="4"/>
      <c r="C33" s="4"/>
      <c r="D33" s="4"/>
      <c r="E33" s="4"/>
      <c r="F33" s="4"/>
      <c r="G33" s="5" t="s">
        <v>38</v>
      </c>
      <c r="H33" s="3"/>
      <c r="I33" s="3"/>
      <c r="J33" s="3"/>
      <c r="K33" s="4"/>
      <c r="L33" s="4"/>
      <c r="M33" s="4"/>
      <c r="N33" s="4"/>
      <c r="O33" s="4"/>
      <c r="P33" s="4"/>
      <c r="Q33" s="4"/>
      <c r="R33" s="4"/>
    </row>
    <row r="36" spans="1:18" ht="15.75" customHeight="1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</row>
    <row r="37" spans="1:18" ht="15.75" customHeight="1" x14ac:dyDescent="0.25">
      <c r="A37">
        <v>107</v>
      </c>
      <c r="B37" t="s">
        <v>18</v>
      </c>
      <c r="C37" t="s">
        <v>14</v>
      </c>
      <c r="D37">
        <v>50</v>
      </c>
      <c r="E37">
        <v>80</v>
      </c>
      <c r="F37">
        <v>100</v>
      </c>
      <c r="G37">
        <v>5</v>
      </c>
    </row>
    <row r="38" spans="1:18" ht="15.75" customHeight="1" x14ac:dyDescent="0.25">
      <c r="A38">
        <v>125</v>
      </c>
      <c r="B38" t="s">
        <v>36</v>
      </c>
      <c r="C38" t="s">
        <v>14</v>
      </c>
      <c r="D38">
        <v>47</v>
      </c>
      <c r="E38">
        <v>79</v>
      </c>
      <c r="F38">
        <v>99</v>
      </c>
      <c r="G38">
        <v>5</v>
      </c>
    </row>
    <row r="39" spans="1:18" ht="15.75" customHeight="1" x14ac:dyDescent="0.25">
      <c r="A39">
        <v>115</v>
      </c>
      <c r="B39" t="s">
        <v>26</v>
      </c>
      <c r="C39" t="s">
        <v>14</v>
      </c>
      <c r="D39">
        <v>48</v>
      </c>
      <c r="E39">
        <v>78</v>
      </c>
      <c r="F39">
        <v>98</v>
      </c>
      <c r="G39">
        <v>5</v>
      </c>
    </row>
    <row r="40" spans="1:18" ht="15.75" customHeight="1" x14ac:dyDescent="0.25">
      <c r="A40">
        <v>123</v>
      </c>
      <c r="B40" t="s">
        <v>34</v>
      </c>
      <c r="C40" t="s">
        <v>10</v>
      </c>
      <c r="D40">
        <v>46</v>
      </c>
      <c r="E40">
        <v>77</v>
      </c>
      <c r="F40">
        <v>96</v>
      </c>
      <c r="G40">
        <v>5</v>
      </c>
    </row>
    <row r="41" spans="1:18" ht="15.75" customHeight="1" x14ac:dyDescent="0.25">
      <c r="A41">
        <v>104</v>
      </c>
      <c r="B41" t="s">
        <v>13</v>
      </c>
      <c r="C41" t="s">
        <v>14</v>
      </c>
      <c r="D41">
        <v>45</v>
      </c>
      <c r="E41">
        <v>75</v>
      </c>
      <c r="F41">
        <v>95</v>
      </c>
      <c r="G41">
        <v>5</v>
      </c>
    </row>
    <row r="42" spans="1:18" ht="15.75" hidden="1" customHeight="1" x14ac:dyDescent="0.3">
      <c r="A42" s="10">
        <v>112</v>
      </c>
      <c r="B42" s="2" t="s">
        <v>23</v>
      </c>
      <c r="C42" s="2" t="s">
        <v>10</v>
      </c>
      <c r="D42" s="2">
        <v>44</v>
      </c>
      <c r="E42" s="2">
        <v>73</v>
      </c>
      <c r="F42" s="2">
        <v>94</v>
      </c>
      <c r="G42" s="12">
        <v>5</v>
      </c>
    </row>
    <row r="43" spans="1:18" ht="15.75" hidden="1" customHeight="1" x14ac:dyDescent="0.3">
      <c r="A43" s="10">
        <v>118</v>
      </c>
      <c r="B43" s="2" t="s">
        <v>29</v>
      </c>
      <c r="C43" s="2" t="s">
        <v>10</v>
      </c>
      <c r="D43" s="2">
        <v>43</v>
      </c>
      <c r="E43" s="2">
        <v>75</v>
      </c>
      <c r="F43" s="2">
        <v>93</v>
      </c>
      <c r="G43" s="12">
        <v>5</v>
      </c>
    </row>
    <row r="44" spans="1:18" ht="15.75" hidden="1" customHeight="1" x14ac:dyDescent="0.3">
      <c r="A44" s="9">
        <v>109</v>
      </c>
      <c r="B44" s="1" t="s">
        <v>20</v>
      </c>
      <c r="C44" s="1" t="s">
        <v>10</v>
      </c>
      <c r="D44" s="1">
        <v>42</v>
      </c>
      <c r="E44" s="1">
        <v>70</v>
      </c>
      <c r="F44" s="1">
        <v>92</v>
      </c>
      <c r="G44" s="11">
        <v>5</v>
      </c>
    </row>
    <row r="45" spans="1:18" ht="15.75" hidden="1" customHeight="1" x14ac:dyDescent="0.3">
      <c r="A45" s="10">
        <v>102</v>
      </c>
      <c r="B45" s="2" t="s">
        <v>9</v>
      </c>
      <c r="C45" s="2" t="s">
        <v>10</v>
      </c>
      <c r="D45" s="2">
        <v>40</v>
      </c>
      <c r="E45" s="2">
        <v>65</v>
      </c>
      <c r="F45" s="2">
        <v>90</v>
      </c>
      <c r="G45" s="12">
        <v>5</v>
      </c>
    </row>
    <row r="46" spans="1:18" ht="15.75" hidden="1" customHeight="1" x14ac:dyDescent="0.3">
      <c r="A46" s="10">
        <v>114</v>
      </c>
      <c r="B46" s="2" t="s">
        <v>25</v>
      </c>
      <c r="C46" s="2" t="s">
        <v>8</v>
      </c>
      <c r="D46" s="2">
        <v>41</v>
      </c>
      <c r="E46" s="2">
        <v>66</v>
      </c>
      <c r="F46" s="2">
        <v>89</v>
      </c>
      <c r="G46" s="12">
        <v>4</v>
      </c>
    </row>
    <row r="47" spans="1:18" ht="15.75" hidden="1" customHeight="1" x14ac:dyDescent="0.3">
      <c r="A47" s="9">
        <v>119</v>
      </c>
      <c r="B47" s="1" t="s">
        <v>30</v>
      </c>
      <c r="C47" s="1" t="s">
        <v>14</v>
      </c>
      <c r="D47" s="1">
        <v>39</v>
      </c>
      <c r="E47" s="1">
        <v>60</v>
      </c>
      <c r="F47" s="1">
        <v>87</v>
      </c>
      <c r="G47" s="11">
        <v>4</v>
      </c>
    </row>
    <row r="48" spans="1:18" ht="15.75" hidden="1" customHeight="1" x14ac:dyDescent="0.3">
      <c r="A48" s="10">
        <v>106</v>
      </c>
      <c r="B48" s="2" t="s">
        <v>17</v>
      </c>
      <c r="C48" s="2" t="s">
        <v>8</v>
      </c>
      <c r="D48" s="2">
        <v>38</v>
      </c>
      <c r="E48" s="2">
        <v>58</v>
      </c>
      <c r="F48" s="2">
        <v>85</v>
      </c>
      <c r="G48" s="12">
        <v>4</v>
      </c>
    </row>
    <row r="49" spans="1:7" ht="15.75" hidden="1" customHeight="1" x14ac:dyDescent="0.3">
      <c r="A49" s="10">
        <v>110</v>
      </c>
      <c r="B49" s="2" t="s">
        <v>21</v>
      </c>
      <c r="C49" s="2" t="s">
        <v>8</v>
      </c>
      <c r="D49" s="2">
        <v>37</v>
      </c>
      <c r="E49" s="2">
        <v>55</v>
      </c>
      <c r="F49" s="2">
        <v>83</v>
      </c>
      <c r="G49" s="12">
        <v>4</v>
      </c>
    </row>
    <row r="50" spans="1:7" ht="15.75" hidden="1" customHeight="1" x14ac:dyDescent="0.3">
      <c r="A50" s="9">
        <v>101</v>
      </c>
      <c r="B50" s="1" t="s">
        <v>7</v>
      </c>
      <c r="C50" s="1" t="s">
        <v>8</v>
      </c>
      <c r="D50" s="1">
        <v>35</v>
      </c>
      <c r="E50" s="1">
        <v>50</v>
      </c>
      <c r="F50" s="1">
        <v>80</v>
      </c>
      <c r="G50" s="11">
        <v>4</v>
      </c>
    </row>
    <row r="51" spans="1:7" ht="15.75" hidden="1" customHeight="1" x14ac:dyDescent="0.3">
      <c r="A51" s="10">
        <v>120</v>
      </c>
      <c r="B51" s="2" t="s">
        <v>31</v>
      </c>
      <c r="C51" s="2" t="s">
        <v>8</v>
      </c>
      <c r="D51" s="2">
        <v>36</v>
      </c>
      <c r="E51" s="2">
        <v>52</v>
      </c>
      <c r="F51" s="2">
        <v>78</v>
      </c>
      <c r="G51" s="12">
        <v>4</v>
      </c>
    </row>
    <row r="52" spans="1:7" ht="15.75" hidden="1" customHeight="1" x14ac:dyDescent="0.3">
      <c r="A52" s="10">
        <v>124</v>
      </c>
      <c r="B52" s="2" t="s">
        <v>35</v>
      </c>
      <c r="C52" s="2" t="s">
        <v>8</v>
      </c>
      <c r="D52" s="2">
        <v>34</v>
      </c>
      <c r="E52" s="2">
        <v>48</v>
      </c>
      <c r="F52" s="2">
        <v>76</v>
      </c>
      <c r="G52" s="12">
        <v>3</v>
      </c>
    </row>
    <row r="53" spans="1:7" ht="15.75" hidden="1" customHeight="1" x14ac:dyDescent="0.3">
      <c r="A53" s="9">
        <v>113</v>
      </c>
      <c r="B53" s="1" t="s">
        <v>24</v>
      </c>
      <c r="C53" s="1" t="s">
        <v>12</v>
      </c>
      <c r="D53" s="1">
        <v>33</v>
      </c>
      <c r="E53" s="1">
        <v>45</v>
      </c>
      <c r="F53" s="1">
        <v>75</v>
      </c>
      <c r="G53" s="11">
        <v>3</v>
      </c>
    </row>
    <row r="54" spans="1:7" ht="15.75" hidden="1" customHeight="1" x14ac:dyDescent="0.3">
      <c r="A54" s="10">
        <v>122</v>
      </c>
      <c r="B54" s="2" t="s">
        <v>33</v>
      </c>
      <c r="C54" s="2" t="s">
        <v>12</v>
      </c>
      <c r="D54" s="2">
        <v>32</v>
      </c>
      <c r="E54" s="2">
        <v>44</v>
      </c>
      <c r="F54" s="2">
        <v>74</v>
      </c>
      <c r="G54" s="12">
        <v>3</v>
      </c>
    </row>
    <row r="55" spans="1:7" ht="15.75" hidden="1" customHeight="1" x14ac:dyDescent="0.3">
      <c r="A55" s="9">
        <v>117</v>
      </c>
      <c r="B55" s="1" t="s">
        <v>28</v>
      </c>
      <c r="C55" s="1" t="s">
        <v>12</v>
      </c>
      <c r="D55" s="1">
        <v>31</v>
      </c>
      <c r="E55" s="1">
        <v>42</v>
      </c>
      <c r="F55" s="1">
        <v>72</v>
      </c>
      <c r="G55" s="11">
        <v>3</v>
      </c>
    </row>
    <row r="56" spans="1:7" ht="15.75" hidden="1" customHeight="1" x14ac:dyDescent="0.3">
      <c r="A56" s="9">
        <v>103</v>
      </c>
      <c r="B56" s="1" t="s">
        <v>11</v>
      </c>
      <c r="C56" s="1" t="s">
        <v>12</v>
      </c>
      <c r="D56" s="1">
        <v>30</v>
      </c>
      <c r="E56" s="1">
        <v>40</v>
      </c>
      <c r="F56" s="1">
        <v>70</v>
      </c>
      <c r="G56" s="11">
        <v>3</v>
      </c>
    </row>
    <row r="57" spans="1:7" ht="15.75" hidden="1" customHeight="1" x14ac:dyDescent="0.3">
      <c r="A57" s="9">
        <v>111</v>
      </c>
      <c r="B57" s="1" t="s">
        <v>22</v>
      </c>
      <c r="C57" s="1" t="s">
        <v>16</v>
      </c>
      <c r="D57" s="1">
        <v>29</v>
      </c>
      <c r="E57" s="1">
        <v>38</v>
      </c>
      <c r="F57" s="1">
        <v>68</v>
      </c>
      <c r="G57" s="11">
        <v>3</v>
      </c>
    </row>
    <row r="58" spans="1:7" ht="15.75" hidden="1" customHeight="1" x14ac:dyDescent="0.3">
      <c r="A58" s="10">
        <v>108</v>
      </c>
      <c r="B58" s="2" t="s">
        <v>19</v>
      </c>
      <c r="C58" s="2" t="s">
        <v>12</v>
      </c>
      <c r="D58" s="2">
        <v>28</v>
      </c>
      <c r="E58" s="2">
        <v>35</v>
      </c>
      <c r="F58" s="2">
        <v>65</v>
      </c>
      <c r="G58" s="12">
        <v>3</v>
      </c>
    </row>
    <row r="59" spans="1:7" ht="15.75" hidden="1" customHeight="1" x14ac:dyDescent="0.3">
      <c r="A59" s="9">
        <v>121</v>
      </c>
      <c r="B59" s="1" t="s">
        <v>32</v>
      </c>
      <c r="C59" s="1" t="s">
        <v>16</v>
      </c>
      <c r="D59" s="1">
        <v>27</v>
      </c>
      <c r="E59" s="1">
        <v>34</v>
      </c>
      <c r="F59" s="1">
        <v>64</v>
      </c>
      <c r="G59" s="11">
        <v>2</v>
      </c>
    </row>
    <row r="60" spans="1:7" ht="15.75" hidden="1" customHeight="1" x14ac:dyDescent="0.3">
      <c r="A60" s="10">
        <v>116</v>
      </c>
      <c r="B60" s="2" t="s">
        <v>27</v>
      </c>
      <c r="C60" s="2" t="s">
        <v>16</v>
      </c>
      <c r="D60" s="2">
        <v>26</v>
      </c>
      <c r="E60" s="2">
        <v>32</v>
      </c>
      <c r="F60" s="2">
        <v>62</v>
      </c>
      <c r="G60" s="12">
        <v>2</v>
      </c>
    </row>
    <row r="61" spans="1:7" ht="15.75" hidden="1" customHeight="1" x14ac:dyDescent="0.3">
      <c r="A61" s="13">
        <v>105</v>
      </c>
      <c r="B61" s="14" t="s">
        <v>15</v>
      </c>
      <c r="C61" s="14" t="s">
        <v>16</v>
      </c>
      <c r="D61" s="14">
        <v>25</v>
      </c>
      <c r="E61" s="14">
        <v>30</v>
      </c>
      <c r="F61" s="14">
        <v>60</v>
      </c>
      <c r="G61" s="15">
        <v>2</v>
      </c>
    </row>
    <row r="76" spans="1:17" ht="13.2" x14ac:dyDescent="0.25"/>
    <row r="77" spans="1:17" ht="24.6" x14ac:dyDescent="0.4">
      <c r="A77" s="4"/>
      <c r="B77" s="4"/>
      <c r="C77" s="4"/>
      <c r="D77" s="4"/>
      <c r="E77" s="4"/>
      <c r="F77" s="5" t="s">
        <v>39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9" spans="1:17" ht="15.75" customHeight="1" x14ac:dyDescent="0.25">
      <c r="A79" s="6" t="s">
        <v>40</v>
      </c>
      <c r="B79" t="s">
        <v>43</v>
      </c>
    </row>
    <row r="80" spans="1:17" ht="15.75" customHeight="1" x14ac:dyDescent="0.25">
      <c r="A80" s="7" t="s">
        <v>16</v>
      </c>
      <c r="B80">
        <v>3.415650255319866</v>
      </c>
    </row>
    <row r="81" spans="1:17" ht="15.75" customHeight="1" x14ac:dyDescent="0.25">
      <c r="A81" s="7" t="s">
        <v>12</v>
      </c>
      <c r="B81">
        <v>3.9623225512317668</v>
      </c>
      <c r="D81" s="8" t="s">
        <v>42</v>
      </c>
      <c r="E81" s="3"/>
      <c r="F81" s="3"/>
      <c r="G81" s="3"/>
      <c r="H81" s="3"/>
    </row>
    <row r="82" spans="1:17" ht="15.75" customHeight="1" x14ac:dyDescent="0.25">
      <c r="A82" s="7" t="s">
        <v>14</v>
      </c>
      <c r="B82">
        <v>5.2630789467763757</v>
      </c>
    </row>
    <row r="83" spans="1:17" ht="15.75" customHeight="1" x14ac:dyDescent="0.25">
      <c r="A83" s="7" t="s">
        <v>10</v>
      </c>
      <c r="B83">
        <v>2.2360679774997898</v>
      </c>
    </row>
    <row r="84" spans="1:17" ht="15.75" customHeight="1" x14ac:dyDescent="0.25">
      <c r="A84" s="7" t="s">
        <v>8</v>
      </c>
      <c r="B84">
        <v>4.7923550230202219</v>
      </c>
    </row>
    <row r="85" spans="1:17" ht="15.75" customHeight="1" x14ac:dyDescent="0.25">
      <c r="A85" s="7" t="s">
        <v>41</v>
      </c>
      <c r="B85">
        <v>12.668859459319927</v>
      </c>
    </row>
    <row r="90" spans="1:17" ht="24.6" x14ac:dyDescent="0.4">
      <c r="A90" s="4"/>
      <c r="B90" s="4"/>
      <c r="C90" s="4"/>
      <c r="D90" s="4"/>
      <c r="E90" s="4"/>
      <c r="F90" s="5" t="s">
        <v>44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2" spans="1:17" ht="15.75" customHeight="1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45</v>
      </c>
      <c r="I92" t="s">
        <v>46</v>
      </c>
    </row>
    <row r="93" spans="1:17" ht="15.75" customHeight="1" x14ac:dyDescent="0.25">
      <c r="A93">
        <v>102</v>
      </c>
      <c r="B93" t="s">
        <v>9</v>
      </c>
      <c r="C93" t="s">
        <v>10</v>
      </c>
      <c r="D93">
        <v>40</v>
      </c>
      <c r="E93">
        <v>65</v>
      </c>
      <c r="F93">
        <v>90</v>
      </c>
      <c r="G93">
        <v>5</v>
      </c>
      <c r="H93">
        <f t="shared" ref="H93:H117" si="2">(F93 * G93) / D93</f>
        <v>11.25</v>
      </c>
      <c r="I93">
        <f t="shared" ref="I93:I117" si="3">RANK(H93,$H$2:$H$26,0)</f>
        <v>1</v>
      </c>
    </row>
    <row r="94" spans="1:17" ht="15.75" customHeight="1" x14ac:dyDescent="0.25">
      <c r="A94">
        <v>109</v>
      </c>
      <c r="B94" t="s">
        <v>20</v>
      </c>
      <c r="C94" t="s">
        <v>10</v>
      </c>
      <c r="D94">
        <v>42</v>
      </c>
      <c r="E94">
        <v>70</v>
      </c>
      <c r="F94">
        <v>92</v>
      </c>
      <c r="G94">
        <v>5</v>
      </c>
      <c r="H94">
        <f t="shared" si="2"/>
        <v>10.952380952380953</v>
      </c>
      <c r="I94">
        <f t="shared" si="3"/>
        <v>2</v>
      </c>
    </row>
    <row r="95" spans="1:17" ht="15.75" customHeight="1" x14ac:dyDescent="0.25">
      <c r="A95">
        <v>118</v>
      </c>
      <c r="B95" t="s">
        <v>29</v>
      </c>
      <c r="C95" t="s">
        <v>10</v>
      </c>
      <c r="D95">
        <v>43</v>
      </c>
      <c r="E95">
        <v>75</v>
      </c>
      <c r="F95">
        <v>93</v>
      </c>
      <c r="G95">
        <v>5</v>
      </c>
      <c r="H95">
        <f t="shared" si="2"/>
        <v>10.813953488372093</v>
      </c>
      <c r="I95">
        <f t="shared" si="3"/>
        <v>3</v>
      </c>
    </row>
    <row r="96" spans="1:17" ht="15.75" hidden="1" customHeight="1" x14ac:dyDescent="0.3">
      <c r="A96" s="10">
        <v>112</v>
      </c>
      <c r="B96" s="2" t="s">
        <v>23</v>
      </c>
      <c r="C96" s="2" t="s">
        <v>10</v>
      </c>
      <c r="D96" s="2">
        <v>44</v>
      </c>
      <c r="E96" s="2">
        <v>73</v>
      </c>
      <c r="F96" s="2">
        <v>94</v>
      </c>
      <c r="G96" s="2">
        <v>5</v>
      </c>
      <c r="H96" s="2">
        <f t="shared" si="2"/>
        <v>10.681818181818182</v>
      </c>
      <c r="I96">
        <f t="shared" si="3"/>
        <v>4</v>
      </c>
    </row>
    <row r="97" spans="1:9" ht="15.75" hidden="1" customHeight="1" x14ac:dyDescent="0.3">
      <c r="A97" s="10">
        <v>104</v>
      </c>
      <c r="B97" s="2" t="s">
        <v>13</v>
      </c>
      <c r="C97" s="2" t="s">
        <v>14</v>
      </c>
      <c r="D97" s="2">
        <v>45</v>
      </c>
      <c r="E97" s="2">
        <v>75</v>
      </c>
      <c r="F97" s="2">
        <v>95</v>
      </c>
      <c r="G97" s="2">
        <v>5</v>
      </c>
      <c r="H97" s="2">
        <f t="shared" si="2"/>
        <v>10.555555555555555</v>
      </c>
      <c r="I97">
        <f t="shared" si="3"/>
        <v>5</v>
      </c>
    </row>
    <row r="98" spans="1:9" ht="15.75" hidden="1" customHeight="1" x14ac:dyDescent="0.3">
      <c r="A98" s="9">
        <v>125</v>
      </c>
      <c r="B98" s="1" t="s">
        <v>36</v>
      </c>
      <c r="C98" s="1" t="s">
        <v>14</v>
      </c>
      <c r="D98" s="1">
        <v>47</v>
      </c>
      <c r="E98" s="1">
        <v>79</v>
      </c>
      <c r="F98" s="1">
        <v>99</v>
      </c>
      <c r="G98" s="1">
        <v>5</v>
      </c>
      <c r="H98" s="1">
        <f t="shared" si="2"/>
        <v>10.531914893617021</v>
      </c>
      <c r="I98">
        <f t="shared" si="3"/>
        <v>6</v>
      </c>
    </row>
    <row r="99" spans="1:9" ht="15.75" hidden="1" customHeight="1" x14ac:dyDescent="0.3">
      <c r="A99" s="9">
        <v>123</v>
      </c>
      <c r="B99" s="1" t="s">
        <v>34</v>
      </c>
      <c r="C99" s="1" t="s">
        <v>10</v>
      </c>
      <c r="D99" s="1">
        <v>46</v>
      </c>
      <c r="E99" s="1">
        <v>77</v>
      </c>
      <c r="F99" s="1">
        <v>96</v>
      </c>
      <c r="G99" s="1">
        <v>5</v>
      </c>
      <c r="H99" s="1">
        <f t="shared" si="2"/>
        <v>10.434782608695652</v>
      </c>
      <c r="I99">
        <f t="shared" si="3"/>
        <v>7</v>
      </c>
    </row>
    <row r="100" spans="1:9" ht="15.75" hidden="1" customHeight="1" x14ac:dyDescent="0.3">
      <c r="A100" s="9">
        <v>115</v>
      </c>
      <c r="B100" s="1" t="s">
        <v>26</v>
      </c>
      <c r="C100" s="1" t="s">
        <v>14</v>
      </c>
      <c r="D100" s="1">
        <v>48</v>
      </c>
      <c r="E100" s="1">
        <v>78</v>
      </c>
      <c r="F100" s="1">
        <v>98</v>
      </c>
      <c r="G100" s="1">
        <v>5</v>
      </c>
      <c r="H100" s="1">
        <f t="shared" si="2"/>
        <v>10.208333333333334</v>
      </c>
      <c r="I100">
        <f t="shared" si="3"/>
        <v>8</v>
      </c>
    </row>
    <row r="101" spans="1:9" ht="15.75" hidden="1" customHeight="1" x14ac:dyDescent="0.3">
      <c r="A101" s="9">
        <v>107</v>
      </c>
      <c r="B101" s="1" t="s">
        <v>18</v>
      </c>
      <c r="C101" s="1" t="s">
        <v>14</v>
      </c>
      <c r="D101" s="1">
        <v>50</v>
      </c>
      <c r="E101" s="1">
        <v>80</v>
      </c>
      <c r="F101" s="1">
        <v>100</v>
      </c>
      <c r="G101" s="1">
        <v>5</v>
      </c>
      <c r="H101" s="1">
        <f t="shared" si="2"/>
        <v>10</v>
      </c>
      <c r="I101">
        <f t="shared" si="3"/>
        <v>9</v>
      </c>
    </row>
    <row r="102" spans="1:9" ht="15.75" hidden="1" customHeight="1" x14ac:dyDescent="0.3">
      <c r="A102" s="9">
        <v>101</v>
      </c>
      <c r="B102" s="1" t="s">
        <v>7</v>
      </c>
      <c r="C102" s="1" t="s">
        <v>8</v>
      </c>
      <c r="D102" s="1">
        <v>35</v>
      </c>
      <c r="E102" s="1">
        <v>50</v>
      </c>
      <c r="F102" s="1">
        <v>80</v>
      </c>
      <c r="G102" s="1">
        <v>4</v>
      </c>
      <c r="H102" s="1">
        <f t="shared" si="2"/>
        <v>9.1428571428571423</v>
      </c>
      <c r="I102">
        <f t="shared" si="3"/>
        <v>10</v>
      </c>
    </row>
    <row r="103" spans="1:9" ht="15.75" hidden="1" customHeight="1" x14ac:dyDescent="0.3">
      <c r="A103" s="10">
        <v>110</v>
      </c>
      <c r="B103" s="2" t="s">
        <v>21</v>
      </c>
      <c r="C103" s="2" t="s">
        <v>8</v>
      </c>
      <c r="D103" s="2">
        <v>37</v>
      </c>
      <c r="E103" s="2">
        <v>55</v>
      </c>
      <c r="F103" s="2">
        <v>83</v>
      </c>
      <c r="G103" s="2">
        <v>4</v>
      </c>
      <c r="H103" s="2">
        <f t="shared" si="2"/>
        <v>8.9729729729729737</v>
      </c>
      <c r="I103">
        <f t="shared" si="3"/>
        <v>11</v>
      </c>
    </row>
    <row r="104" spans="1:9" ht="15.75" hidden="1" customHeight="1" x14ac:dyDescent="0.3">
      <c r="A104" s="10">
        <v>106</v>
      </c>
      <c r="B104" s="2" t="s">
        <v>17</v>
      </c>
      <c r="C104" s="2" t="s">
        <v>8</v>
      </c>
      <c r="D104" s="2">
        <v>38</v>
      </c>
      <c r="E104" s="2">
        <v>58</v>
      </c>
      <c r="F104" s="2">
        <v>85</v>
      </c>
      <c r="G104" s="2">
        <v>4</v>
      </c>
      <c r="H104" s="2">
        <f t="shared" si="2"/>
        <v>8.9473684210526319</v>
      </c>
      <c r="I104">
        <f t="shared" si="3"/>
        <v>12</v>
      </c>
    </row>
    <row r="105" spans="1:9" ht="15.75" hidden="1" customHeight="1" x14ac:dyDescent="0.3">
      <c r="A105" s="9">
        <v>119</v>
      </c>
      <c r="B105" s="1" t="s">
        <v>30</v>
      </c>
      <c r="C105" s="1" t="s">
        <v>14</v>
      </c>
      <c r="D105" s="1">
        <v>39</v>
      </c>
      <c r="E105" s="1">
        <v>60</v>
      </c>
      <c r="F105" s="1">
        <v>87</v>
      </c>
      <c r="G105" s="1">
        <v>4</v>
      </c>
      <c r="H105" s="1">
        <f t="shared" si="2"/>
        <v>8.9230769230769234</v>
      </c>
      <c r="I105">
        <f t="shared" si="3"/>
        <v>13</v>
      </c>
    </row>
    <row r="106" spans="1:9" ht="15.75" hidden="1" customHeight="1" x14ac:dyDescent="0.3">
      <c r="A106" s="10">
        <v>114</v>
      </c>
      <c r="B106" s="2" t="s">
        <v>25</v>
      </c>
      <c r="C106" s="2" t="s">
        <v>8</v>
      </c>
      <c r="D106" s="2">
        <v>41</v>
      </c>
      <c r="E106" s="2">
        <v>66</v>
      </c>
      <c r="F106" s="2">
        <v>89</v>
      </c>
      <c r="G106" s="2">
        <v>4</v>
      </c>
      <c r="H106" s="2">
        <f t="shared" si="2"/>
        <v>8.6829268292682933</v>
      </c>
      <c r="I106">
        <f t="shared" si="3"/>
        <v>14</v>
      </c>
    </row>
    <row r="107" spans="1:9" ht="15.75" hidden="1" customHeight="1" x14ac:dyDescent="0.3">
      <c r="A107" s="10">
        <v>120</v>
      </c>
      <c r="B107" s="2" t="s">
        <v>31</v>
      </c>
      <c r="C107" s="2" t="s">
        <v>8</v>
      </c>
      <c r="D107" s="2">
        <v>36</v>
      </c>
      <c r="E107" s="2">
        <v>52</v>
      </c>
      <c r="F107" s="2">
        <v>78</v>
      </c>
      <c r="G107" s="2">
        <v>4</v>
      </c>
      <c r="H107" s="2">
        <f t="shared" si="2"/>
        <v>8.6666666666666661</v>
      </c>
      <c r="I107">
        <f t="shared" si="3"/>
        <v>15</v>
      </c>
    </row>
    <row r="108" spans="1:9" ht="15.75" hidden="1" customHeight="1" x14ac:dyDescent="0.3">
      <c r="A108" s="9">
        <v>111</v>
      </c>
      <c r="B108" s="1" t="s">
        <v>22</v>
      </c>
      <c r="C108" s="1" t="s">
        <v>16</v>
      </c>
      <c r="D108" s="1">
        <v>29</v>
      </c>
      <c r="E108" s="1">
        <v>38</v>
      </c>
      <c r="F108" s="1">
        <v>68</v>
      </c>
      <c r="G108" s="1">
        <v>3</v>
      </c>
      <c r="H108" s="1">
        <f t="shared" si="2"/>
        <v>7.0344827586206895</v>
      </c>
      <c r="I108">
        <f t="shared" si="3"/>
        <v>16</v>
      </c>
    </row>
    <row r="109" spans="1:9" ht="15.75" hidden="1" customHeight="1" x14ac:dyDescent="0.3">
      <c r="A109" s="9">
        <v>103</v>
      </c>
      <c r="B109" s="1" t="s">
        <v>11</v>
      </c>
      <c r="C109" s="1" t="s">
        <v>12</v>
      </c>
      <c r="D109" s="1">
        <v>30</v>
      </c>
      <c r="E109" s="1">
        <v>40</v>
      </c>
      <c r="F109" s="1">
        <v>70</v>
      </c>
      <c r="G109" s="1">
        <v>3</v>
      </c>
      <c r="H109" s="1">
        <f t="shared" si="2"/>
        <v>7</v>
      </c>
      <c r="I109">
        <f t="shared" si="3"/>
        <v>17</v>
      </c>
    </row>
    <row r="110" spans="1:9" ht="15.75" hidden="1" customHeight="1" x14ac:dyDescent="0.3">
      <c r="A110" s="9">
        <v>117</v>
      </c>
      <c r="B110" s="1" t="s">
        <v>28</v>
      </c>
      <c r="C110" s="1" t="s">
        <v>12</v>
      </c>
      <c r="D110" s="1">
        <v>31</v>
      </c>
      <c r="E110" s="1">
        <v>42</v>
      </c>
      <c r="F110" s="1">
        <v>72</v>
      </c>
      <c r="G110" s="1">
        <v>3</v>
      </c>
      <c r="H110" s="1">
        <f t="shared" si="2"/>
        <v>6.967741935483871</v>
      </c>
      <c r="I110">
        <f t="shared" si="3"/>
        <v>18</v>
      </c>
    </row>
    <row r="111" spans="1:9" ht="15.75" hidden="1" customHeight="1" x14ac:dyDescent="0.3">
      <c r="A111" s="10">
        <v>108</v>
      </c>
      <c r="B111" s="2" t="s">
        <v>19</v>
      </c>
      <c r="C111" s="2" t="s">
        <v>12</v>
      </c>
      <c r="D111" s="2">
        <v>28</v>
      </c>
      <c r="E111" s="2">
        <v>35</v>
      </c>
      <c r="F111" s="2">
        <v>65</v>
      </c>
      <c r="G111" s="2">
        <v>3</v>
      </c>
      <c r="H111" s="2">
        <f t="shared" si="2"/>
        <v>6.9642857142857144</v>
      </c>
      <c r="I111">
        <f t="shared" si="3"/>
        <v>19</v>
      </c>
    </row>
    <row r="112" spans="1:9" ht="15.75" hidden="1" customHeight="1" x14ac:dyDescent="0.3">
      <c r="A112" s="10">
        <v>122</v>
      </c>
      <c r="B112" s="2" t="s">
        <v>33</v>
      </c>
      <c r="C112" s="2" t="s">
        <v>12</v>
      </c>
      <c r="D112" s="2">
        <v>32</v>
      </c>
      <c r="E112" s="2">
        <v>44</v>
      </c>
      <c r="F112" s="2">
        <v>74</v>
      </c>
      <c r="G112" s="2">
        <v>3</v>
      </c>
      <c r="H112" s="2">
        <f t="shared" si="2"/>
        <v>6.9375</v>
      </c>
      <c r="I112">
        <f t="shared" si="3"/>
        <v>20</v>
      </c>
    </row>
    <row r="113" spans="1:17" ht="15.75" hidden="1" customHeight="1" x14ac:dyDescent="0.3">
      <c r="A113" s="9">
        <v>113</v>
      </c>
      <c r="B113" s="1" t="s">
        <v>24</v>
      </c>
      <c r="C113" s="1" t="s">
        <v>12</v>
      </c>
      <c r="D113" s="1">
        <v>33</v>
      </c>
      <c r="E113" s="1">
        <v>45</v>
      </c>
      <c r="F113" s="1">
        <v>75</v>
      </c>
      <c r="G113" s="1">
        <v>3</v>
      </c>
      <c r="H113" s="1">
        <f t="shared" si="2"/>
        <v>6.8181818181818183</v>
      </c>
      <c r="I113">
        <f t="shared" si="3"/>
        <v>21</v>
      </c>
    </row>
    <row r="114" spans="1:17" ht="15.75" hidden="1" customHeight="1" x14ac:dyDescent="0.3">
      <c r="A114" s="10">
        <v>124</v>
      </c>
      <c r="B114" s="2" t="s">
        <v>35</v>
      </c>
      <c r="C114" s="2" t="s">
        <v>8</v>
      </c>
      <c r="D114" s="2">
        <v>34</v>
      </c>
      <c r="E114" s="2">
        <v>48</v>
      </c>
      <c r="F114" s="2">
        <v>76</v>
      </c>
      <c r="G114" s="2">
        <v>3</v>
      </c>
      <c r="H114" s="2">
        <f t="shared" si="2"/>
        <v>6.7058823529411766</v>
      </c>
      <c r="I114">
        <f t="shared" si="3"/>
        <v>22</v>
      </c>
    </row>
    <row r="115" spans="1:17" ht="15.75" hidden="1" customHeight="1" x14ac:dyDescent="0.3">
      <c r="A115" s="9">
        <v>105</v>
      </c>
      <c r="B115" s="1" t="s">
        <v>15</v>
      </c>
      <c r="C115" s="1" t="s">
        <v>16</v>
      </c>
      <c r="D115" s="1">
        <v>25</v>
      </c>
      <c r="E115" s="1">
        <v>30</v>
      </c>
      <c r="F115" s="1">
        <v>60</v>
      </c>
      <c r="G115" s="1">
        <v>2</v>
      </c>
      <c r="H115" s="1">
        <f t="shared" si="2"/>
        <v>4.8</v>
      </c>
      <c r="I115" s="1">
        <f t="shared" si="3"/>
        <v>23</v>
      </c>
    </row>
    <row r="116" spans="1:17" ht="15.75" hidden="1" customHeight="1" x14ac:dyDescent="0.3">
      <c r="A116" s="10">
        <v>116</v>
      </c>
      <c r="B116" s="2" t="s">
        <v>27</v>
      </c>
      <c r="C116" s="2" t="s">
        <v>16</v>
      </c>
      <c r="D116" s="2">
        <v>26</v>
      </c>
      <c r="E116" s="2">
        <v>32</v>
      </c>
      <c r="F116" s="2">
        <v>62</v>
      </c>
      <c r="G116" s="2">
        <v>2</v>
      </c>
      <c r="H116" s="2">
        <f t="shared" si="2"/>
        <v>4.7692307692307692</v>
      </c>
      <c r="I116">
        <f t="shared" si="3"/>
        <v>24</v>
      </c>
    </row>
    <row r="117" spans="1:17" ht="15.75" hidden="1" customHeight="1" x14ac:dyDescent="0.3">
      <c r="A117" s="13">
        <v>121</v>
      </c>
      <c r="B117" s="14" t="s">
        <v>32</v>
      </c>
      <c r="C117" s="14" t="s">
        <v>16</v>
      </c>
      <c r="D117" s="14">
        <v>27</v>
      </c>
      <c r="E117" s="14">
        <v>34</v>
      </c>
      <c r="F117" s="14">
        <v>64</v>
      </c>
      <c r="G117" s="14">
        <v>2</v>
      </c>
      <c r="H117" s="14">
        <f t="shared" si="2"/>
        <v>4.7407407407407405</v>
      </c>
      <c r="I117" s="14">
        <f t="shared" si="3"/>
        <v>25</v>
      </c>
    </row>
    <row r="119" spans="1:17" ht="15.75" customHeight="1" x14ac:dyDescent="0.25">
      <c r="B119" s="21" t="s">
        <v>47</v>
      </c>
      <c r="C119" s="3"/>
      <c r="D119" s="3"/>
      <c r="E119" s="3"/>
      <c r="F119" s="3"/>
      <c r="G119" s="18"/>
      <c r="H119" s="18"/>
    </row>
    <row r="120" spans="1:17" ht="15.75" customHeight="1" x14ac:dyDescent="0.25">
      <c r="B120" s="20" t="s">
        <v>48</v>
      </c>
      <c r="C120" s="19"/>
      <c r="D120" s="19"/>
      <c r="E120" s="18"/>
      <c r="F120" s="18"/>
      <c r="G120" s="18"/>
      <c r="H120" s="18"/>
    </row>
    <row r="121" spans="1:17" ht="15.75" customHeight="1" x14ac:dyDescent="0.25">
      <c r="B121" s="3" t="s">
        <v>49</v>
      </c>
      <c r="C121" s="3"/>
      <c r="D121" s="3"/>
      <c r="E121" s="3"/>
      <c r="F121" s="3"/>
      <c r="G121" s="3"/>
      <c r="H121" s="3"/>
    </row>
    <row r="126" spans="1:17" ht="24.6" x14ac:dyDescent="0.4">
      <c r="A126" s="4"/>
      <c r="B126" s="4"/>
      <c r="C126" s="4"/>
      <c r="D126" s="4"/>
      <c r="E126" s="4"/>
      <c r="F126" s="5" t="s">
        <v>50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</row>
    <row r="129" spans="2:17" ht="15.75" customHeight="1" x14ac:dyDescent="0.25">
      <c r="B129" s="17" t="s">
        <v>51</v>
      </c>
    </row>
    <row r="131" spans="2:17" ht="22.8" x14ac:dyDescent="0.4">
      <c r="B131" s="25" t="s">
        <v>52</v>
      </c>
      <c r="C131" s="25"/>
      <c r="D131" s="25"/>
      <c r="E131" s="25"/>
      <c r="F131" s="25"/>
      <c r="G131" s="24" t="s">
        <v>54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2:17" ht="22.8" x14ac:dyDescent="0.4">
      <c r="B132" s="35"/>
      <c r="C132" s="35">
        <f>CORREL(Table3[Hours_Worked],Table3[Performance_Rating])</f>
        <v>0.94623485838187715</v>
      </c>
      <c r="D132" s="35"/>
      <c r="E132" s="35"/>
      <c r="F132" s="35"/>
      <c r="G132" s="23" t="s">
        <v>55</v>
      </c>
      <c r="H132" s="23"/>
      <c r="I132" s="23"/>
      <c r="J132" s="23"/>
      <c r="K132" s="23"/>
      <c r="L132" s="3"/>
      <c r="M132" s="3"/>
      <c r="N132" s="3"/>
      <c r="O132" s="3"/>
      <c r="P132" s="3"/>
      <c r="Q132" s="3"/>
    </row>
    <row r="133" spans="2:17" ht="22.8" x14ac:dyDescent="0.4">
      <c r="B133" s="25" t="s">
        <v>53</v>
      </c>
      <c r="C133" s="25"/>
      <c r="D133" s="25"/>
      <c r="E133" s="25"/>
      <c r="F133" s="25"/>
      <c r="G133" s="23" t="s">
        <v>56</v>
      </c>
      <c r="H133" s="23"/>
      <c r="I133" s="23"/>
      <c r="J133" s="23"/>
      <c r="K133" s="23"/>
      <c r="L133" s="3"/>
      <c r="M133" s="3"/>
      <c r="N133" s="3"/>
      <c r="O133" s="3"/>
      <c r="P133" s="3"/>
      <c r="Q133" s="3"/>
    </row>
    <row r="134" spans="2:17" ht="22.8" x14ac:dyDescent="0.4">
      <c r="B134" s="35"/>
      <c r="C134" s="35">
        <f>CORREL(Table3[Tasks_Completed],Table3[Performance_Rating])</f>
        <v>0.95745537036476258</v>
      </c>
      <c r="D134" s="35"/>
      <c r="E134" s="35"/>
      <c r="F134" s="35"/>
      <c r="G134" s="23" t="s">
        <v>57</v>
      </c>
      <c r="H134" s="23"/>
      <c r="I134" s="23"/>
      <c r="J134" s="23"/>
      <c r="K134" s="23"/>
      <c r="L134" s="3"/>
      <c r="M134" s="3"/>
      <c r="N134" s="3"/>
      <c r="O134" s="3"/>
      <c r="P134" s="3"/>
      <c r="Q134" s="3"/>
    </row>
    <row r="139" spans="2:17" ht="15.75" customHeight="1" x14ac:dyDescent="0.25">
      <c r="B139" s="26" t="s">
        <v>58</v>
      </c>
    </row>
    <row r="144" spans="2:17" ht="18" customHeight="1" x14ac:dyDescent="0.3">
      <c r="G144" s="30" t="s">
        <v>54</v>
      </c>
      <c r="H144" s="27" t="s">
        <v>59</v>
      </c>
      <c r="I144" s="27"/>
      <c r="J144" s="27"/>
      <c r="K144" s="27"/>
      <c r="L144" s="27"/>
      <c r="M144" s="3"/>
      <c r="N144" s="3"/>
    </row>
    <row r="145" spans="1:17" ht="19.8" customHeight="1" x14ac:dyDescent="0.3">
      <c r="G145" s="30"/>
      <c r="H145" s="27" t="s">
        <v>60</v>
      </c>
      <c r="I145" s="27"/>
      <c r="J145" s="27"/>
      <c r="K145" s="27"/>
      <c r="L145" s="27"/>
      <c r="M145" s="3"/>
      <c r="N145" s="3"/>
    </row>
    <row r="160" spans="1:17" ht="24.6" x14ac:dyDescent="0.4">
      <c r="A160" s="4"/>
      <c r="B160" s="4"/>
      <c r="C160" s="4"/>
      <c r="D160" s="4"/>
      <c r="E160" s="4"/>
      <c r="F160" s="5" t="s">
        <v>61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</row>
    <row r="163" spans="2:10" ht="21" x14ac:dyDescent="0.4">
      <c r="B163" s="28" t="s">
        <v>62</v>
      </c>
      <c r="C163" s="28"/>
    </row>
    <row r="164" spans="2:10" ht="15.75" customHeight="1" x14ac:dyDescent="0.3">
      <c r="B164" s="29">
        <f>AVERAGE(D2:D26)</f>
        <v>37.04</v>
      </c>
      <c r="C164" s="22"/>
    </row>
    <row r="167" spans="2:10" ht="15.75" customHeight="1" x14ac:dyDescent="0.25">
      <c r="B167" t="s">
        <v>0</v>
      </c>
      <c r="C167" t="s">
        <v>1</v>
      </c>
      <c r="D167" t="s">
        <v>2</v>
      </c>
      <c r="E167" t="s">
        <v>3</v>
      </c>
      <c r="F167" t="s">
        <v>4</v>
      </c>
      <c r="G167" t="s">
        <v>5</v>
      </c>
      <c r="H167" t="s">
        <v>6</v>
      </c>
      <c r="I167" t="s">
        <v>45</v>
      </c>
      <c r="J167" t="s">
        <v>46</v>
      </c>
    </row>
    <row r="168" spans="2:10" ht="15.75" hidden="1" customHeight="1" x14ac:dyDescent="0.25">
      <c r="B168">
        <v>102</v>
      </c>
      <c r="C168" t="s">
        <v>9</v>
      </c>
      <c r="D168" t="s">
        <v>10</v>
      </c>
      <c r="E168">
        <v>40</v>
      </c>
      <c r="F168">
        <v>65</v>
      </c>
      <c r="G168">
        <v>90</v>
      </c>
      <c r="H168">
        <v>5</v>
      </c>
      <c r="I168">
        <f t="shared" ref="I168:I192" si="4">(G168 * H168) / E168</f>
        <v>11.25</v>
      </c>
      <c r="J168">
        <f t="shared" ref="J168:J192" si="5">RANK(I168,$H$2:$H$26,0)</f>
        <v>1</v>
      </c>
    </row>
    <row r="169" spans="2:10" ht="15.75" hidden="1" customHeight="1" x14ac:dyDescent="0.25">
      <c r="B169">
        <v>109</v>
      </c>
      <c r="C169" t="s">
        <v>20</v>
      </c>
      <c r="D169" t="s">
        <v>10</v>
      </c>
      <c r="E169">
        <v>42</v>
      </c>
      <c r="F169">
        <v>70</v>
      </c>
      <c r="G169">
        <v>92</v>
      </c>
      <c r="H169">
        <v>5</v>
      </c>
      <c r="I169">
        <f t="shared" si="4"/>
        <v>10.952380952380953</v>
      </c>
      <c r="J169">
        <f t="shared" si="5"/>
        <v>2</v>
      </c>
    </row>
    <row r="170" spans="2:10" ht="15.75" hidden="1" customHeight="1" x14ac:dyDescent="0.25">
      <c r="B170">
        <v>118</v>
      </c>
      <c r="C170" t="s">
        <v>29</v>
      </c>
      <c r="D170" t="s">
        <v>10</v>
      </c>
      <c r="E170">
        <v>43</v>
      </c>
      <c r="F170">
        <v>75</v>
      </c>
      <c r="G170">
        <v>93</v>
      </c>
      <c r="H170">
        <v>5</v>
      </c>
      <c r="I170">
        <f t="shared" si="4"/>
        <v>10.813953488372093</v>
      </c>
      <c r="J170">
        <f t="shared" si="5"/>
        <v>3</v>
      </c>
    </row>
    <row r="171" spans="2:10" ht="15.75" hidden="1" customHeight="1" x14ac:dyDescent="0.25">
      <c r="B171">
        <v>112</v>
      </c>
      <c r="C171" t="s">
        <v>23</v>
      </c>
      <c r="D171" t="s">
        <v>10</v>
      </c>
      <c r="E171">
        <v>44</v>
      </c>
      <c r="F171">
        <v>73</v>
      </c>
      <c r="G171">
        <v>94</v>
      </c>
      <c r="H171">
        <v>5</v>
      </c>
      <c r="I171">
        <f t="shared" si="4"/>
        <v>10.681818181818182</v>
      </c>
      <c r="J171">
        <f t="shared" si="5"/>
        <v>4</v>
      </c>
    </row>
    <row r="172" spans="2:10" ht="15.75" hidden="1" customHeight="1" x14ac:dyDescent="0.25">
      <c r="B172">
        <v>104</v>
      </c>
      <c r="C172" t="s">
        <v>13</v>
      </c>
      <c r="D172" t="s">
        <v>14</v>
      </c>
      <c r="E172">
        <v>45</v>
      </c>
      <c r="F172">
        <v>75</v>
      </c>
      <c r="G172">
        <v>95</v>
      </c>
      <c r="H172">
        <v>5</v>
      </c>
      <c r="I172">
        <f t="shared" si="4"/>
        <v>10.555555555555555</v>
      </c>
      <c r="J172">
        <f t="shared" si="5"/>
        <v>5</v>
      </c>
    </row>
    <row r="173" spans="2:10" ht="15.75" hidden="1" customHeight="1" x14ac:dyDescent="0.25">
      <c r="B173">
        <v>125</v>
      </c>
      <c r="C173" t="s">
        <v>36</v>
      </c>
      <c r="D173" t="s">
        <v>14</v>
      </c>
      <c r="E173">
        <v>47</v>
      </c>
      <c r="F173">
        <v>79</v>
      </c>
      <c r="G173">
        <v>99</v>
      </c>
      <c r="H173">
        <v>5</v>
      </c>
      <c r="I173">
        <f t="shared" si="4"/>
        <v>10.531914893617021</v>
      </c>
      <c r="J173">
        <f t="shared" si="5"/>
        <v>6</v>
      </c>
    </row>
    <row r="174" spans="2:10" ht="15.75" hidden="1" customHeight="1" x14ac:dyDescent="0.25">
      <c r="B174">
        <v>123</v>
      </c>
      <c r="C174" t="s">
        <v>34</v>
      </c>
      <c r="D174" t="s">
        <v>10</v>
      </c>
      <c r="E174">
        <v>46</v>
      </c>
      <c r="F174">
        <v>77</v>
      </c>
      <c r="G174">
        <v>96</v>
      </c>
      <c r="H174">
        <v>5</v>
      </c>
      <c r="I174">
        <f t="shared" si="4"/>
        <v>10.434782608695652</v>
      </c>
      <c r="J174">
        <f t="shared" si="5"/>
        <v>7</v>
      </c>
    </row>
    <row r="175" spans="2:10" ht="15.75" hidden="1" customHeight="1" x14ac:dyDescent="0.25">
      <c r="B175">
        <v>115</v>
      </c>
      <c r="C175" t="s">
        <v>26</v>
      </c>
      <c r="D175" t="s">
        <v>14</v>
      </c>
      <c r="E175">
        <v>48</v>
      </c>
      <c r="F175">
        <v>78</v>
      </c>
      <c r="G175">
        <v>98</v>
      </c>
      <c r="H175">
        <v>5</v>
      </c>
      <c r="I175">
        <f t="shared" si="4"/>
        <v>10.208333333333334</v>
      </c>
      <c r="J175">
        <f t="shared" si="5"/>
        <v>8</v>
      </c>
    </row>
    <row r="176" spans="2:10" ht="15.75" hidden="1" customHeight="1" x14ac:dyDescent="0.25">
      <c r="B176">
        <v>107</v>
      </c>
      <c r="C176" t="s">
        <v>18</v>
      </c>
      <c r="D176" t="s">
        <v>14</v>
      </c>
      <c r="E176">
        <v>50</v>
      </c>
      <c r="F176">
        <v>80</v>
      </c>
      <c r="G176">
        <v>100</v>
      </c>
      <c r="H176">
        <v>5</v>
      </c>
      <c r="I176">
        <f t="shared" si="4"/>
        <v>10</v>
      </c>
      <c r="J176">
        <f t="shared" si="5"/>
        <v>9</v>
      </c>
    </row>
    <row r="177" spans="2:10" ht="15.75" customHeight="1" x14ac:dyDescent="0.25">
      <c r="B177">
        <v>101</v>
      </c>
      <c r="C177" t="s">
        <v>7</v>
      </c>
      <c r="D177" t="s">
        <v>8</v>
      </c>
      <c r="E177">
        <v>35</v>
      </c>
      <c r="F177">
        <v>50</v>
      </c>
      <c r="G177">
        <v>80</v>
      </c>
      <c r="H177">
        <v>4</v>
      </c>
      <c r="I177">
        <f t="shared" si="4"/>
        <v>9.1428571428571423</v>
      </c>
      <c r="J177">
        <f t="shared" si="5"/>
        <v>10</v>
      </c>
    </row>
    <row r="178" spans="2:10" ht="15.75" customHeight="1" x14ac:dyDescent="0.25">
      <c r="B178">
        <v>110</v>
      </c>
      <c r="C178" t="s">
        <v>21</v>
      </c>
      <c r="D178" t="s">
        <v>8</v>
      </c>
      <c r="E178">
        <v>37</v>
      </c>
      <c r="F178">
        <v>55</v>
      </c>
      <c r="G178">
        <v>83</v>
      </c>
      <c r="H178">
        <v>4</v>
      </c>
      <c r="I178">
        <f t="shared" si="4"/>
        <v>8.9729729729729737</v>
      </c>
      <c r="J178">
        <f t="shared" si="5"/>
        <v>11</v>
      </c>
    </row>
    <row r="179" spans="2:10" ht="15.75" hidden="1" customHeight="1" x14ac:dyDescent="0.25">
      <c r="B179">
        <v>106</v>
      </c>
      <c r="C179" t="s">
        <v>17</v>
      </c>
      <c r="D179" t="s">
        <v>8</v>
      </c>
      <c r="E179">
        <v>38</v>
      </c>
      <c r="F179">
        <v>58</v>
      </c>
      <c r="G179">
        <v>85</v>
      </c>
      <c r="H179">
        <v>4</v>
      </c>
      <c r="I179">
        <f t="shared" si="4"/>
        <v>8.9473684210526319</v>
      </c>
      <c r="J179">
        <f t="shared" si="5"/>
        <v>12</v>
      </c>
    </row>
    <row r="180" spans="2:10" ht="15.75" hidden="1" customHeight="1" x14ac:dyDescent="0.25">
      <c r="B180">
        <v>119</v>
      </c>
      <c r="C180" t="s">
        <v>30</v>
      </c>
      <c r="D180" t="s">
        <v>14</v>
      </c>
      <c r="E180">
        <v>39</v>
      </c>
      <c r="F180">
        <v>60</v>
      </c>
      <c r="G180">
        <v>87</v>
      </c>
      <c r="H180">
        <v>4</v>
      </c>
      <c r="I180">
        <f t="shared" si="4"/>
        <v>8.9230769230769234</v>
      </c>
      <c r="J180">
        <f t="shared" si="5"/>
        <v>13</v>
      </c>
    </row>
    <row r="181" spans="2:10" ht="15.75" hidden="1" customHeight="1" x14ac:dyDescent="0.25">
      <c r="B181">
        <v>114</v>
      </c>
      <c r="C181" t="s">
        <v>25</v>
      </c>
      <c r="D181" t="s">
        <v>8</v>
      </c>
      <c r="E181">
        <v>41</v>
      </c>
      <c r="F181">
        <v>66</v>
      </c>
      <c r="G181">
        <v>89</v>
      </c>
      <c r="H181">
        <v>4</v>
      </c>
      <c r="I181">
        <f t="shared" si="4"/>
        <v>8.6829268292682933</v>
      </c>
      <c r="J181">
        <f t="shared" si="5"/>
        <v>14</v>
      </c>
    </row>
    <row r="182" spans="2:10" ht="15.75" customHeight="1" x14ac:dyDescent="0.25">
      <c r="B182">
        <v>120</v>
      </c>
      <c r="C182" t="s">
        <v>31</v>
      </c>
      <c r="D182" t="s">
        <v>8</v>
      </c>
      <c r="E182">
        <v>36</v>
      </c>
      <c r="F182">
        <v>52</v>
      </c>
      <c r="G182">
        <v>78</v>
      </c>
      <c r="H182">
        <v>4</v>
      </c>
      <c r="I182">
        <f t="shared" si="4"/>
        <v>8.6666666666666661</v>
      </c>
      <c r="J182">
        <f t="shared" si="5"/>
        <v>15</v>
      </c>
    </row>
    <row r="183" spans="2:10" ht="15.75" hidden="1" customHeight="1" x14ac:dyDescent="0.3">
      <c r="B183" s="9">
        <v>111</v>
      </c>
      <c r="C183" s="1" t="s">
        <v>22</v>
      </c>
      <c r="D183" s="1" t="s">
        <v>16</v>
      </c>
      <c r="E183" s="1">
        <v>29</v>
      </c>
      <c r="F183" s="1">
        <v>38</v>
      </c>
      <c r="G183" s="1">
        <v>68</v>
      </c>
      <c r="H183" s="1">
        <v>3</v>
      </c>
      <c r="I183" s="1">
        <f t="shared" si="4"/>
        <v>7.0344827586206895</v>
      </c>
      <c r="J183">
        <f t="shared" si="5"/>
        <v>16</v>
      </c>
    </row>
    <row r="184" spans="2:10" ht="15.75" hidden="1" customHeight="1" x14ac:dyDescent="0.3">
      <c r="B184" s="9">
        <v>103</v>
      </c>
      <c r="C184" s="1" t="s">
        <v>11</v>
      </c>
      <c r="D184" s="1" t="s">
        <v>12</v>
      </c>
      <c r="E184" s="1">
        <v>30</v>
      </c>
      <c r="F184" s="1">
        <v>40</v>
      </c>
      <c r="G184" s="1">
        <v>70</v>
      </c>
      <c r="H184" s="1">
        <v>3</v>
      </c>
      <c r="I184" s="1">
        <f t="shared" si="4"/>
        <v>7</v>
      </c>
      <c r="J184">
        <f t="shared" si="5"/>
        <v>17</v>
      </c>
    </row>
    <row r="185" spans="2:10" ht="15.75" hidden="1" customHeight="1" x14ac:dyDescent="0.3">
      <c r="B185" s="9">
        <v>117</v>
      </c>
      <c r="C185" s="1" t="s">
        <v>28</v>
      </c>
      <c r="D185" s="1" t="s">
        <v>12</v>
      </c>
      <c r="E185" s="1">
        <v>31</v>
      </c>
      <c r="F185" s="1">
        <v>42</v>
      </c>
      <c r="G185" s="1">
        <v>72</v>
      </c>
      <c r="H185" s="1">
        <v>3</v>
      </c>
      <c r="I185" s="1">
        <f t="shared" si="4"/>
        <v>6.967741935483871</v>
      </c>
      <c r="J185">
        <f t="shared" si="5"/>
        <v>18</v>
      </c>
    </row>
    <row r="186" spans="2:10" ht="15.75" hidden="1" customHeight="1" x14ac:dyDescent="0.3">
      <c r="B186" s="10">
        <v>108</v>
      </c>
      <c r="C186" s="2" t="s">
        <v>19</v>
      </c>
      <c r="D186" s="2" t="s">
        <v>12</v>
      </c>
      <c r="E186" s="2">
        <v>28</v>
      </c>
      <c r="F186" s="2">
        <v>35</v>
      </c>
      <c r="G186" s="2">
        <v>65</v>
      </c>
      <c r="H186" s="2">
        <v>3</v>
      </c>
      <c r="I186" s="2">
        <f t="shared" si="4"/>
        <v>6.9642857142857144</v>
      </c>
      <c r="J186">
        <f t="shared" si="5"/>
        <v>19</v>
      </c>
    </row>
    <row r="187" spans="2:10" ht="15.75" hidden="1" customHeight="1" x14ac:dyDescent="0.3">
      <c r="B187" s="10">
        <v>122</v>
      </c>
      <c r="C187" s="2" t="s">
        <v>33</v>
      </c>
      <c r="D187" s="2" t="s">
        <v>12</v>
      </c>
      <c r="E187" s="2">
        <v>32</v>
      </c>
      <c r="F187" s="2">
        <v>44</v>
      </c>
      <c r="G187" s="2">
        <v>74</v>
      </c>
      <c r="H187" s="2">
        <v>3</v>
      </c>
      <c r="I187" s="2">
        <f t="shared" si="4"/>
        <v>6.9375</v>
      </c>
      <c r="J187">
        <f t="shared" si="5"/>
        <v>20</v>
      </c>
    </row>
    <row r="188" spans="2:10" ht="15.75" hidden="1" customHeight="1" x14ac:dyDescent="0.3">
      <c r="B188" s="9">
        <v>113</v>
      </c>
      <c r="C188" s="1" t="s">
        <v>24</v>
      </c>
      <c r="D188" s="1" t="s">
        <v>12</v>
      </c>
      <c r="E188" s="1">
        <v>33</v>
      </c>
      <c r="F188" s="1">
        <v>45</v>
      </c>
      <c r="G188" s="1">
        <v>75</v>
      </c>
      <c r="H188" s="1">
        <v>3</v>
      </c>
      <c r="I188" s="1">
        <f t="shared" si="4"/>
        <v>6.8181818181818183</v>
      </c>
      <c r="J188">
        <f t="shared" si="5"/>
        <v>21</v>
      </c>
    </row>
    <row r="189" spans="2:10" ht="15.75" hidden="1" customHeight="1" x14ac:dyDescent="0.3">
      <c r="B189" s="10">
        <v>124</v>
      </c>
      <c r="C189" s="2" t="s">
        <v>35</v>
      </c>
      <c r="D189" s="2" t="s">
        <v>8</v>
      </c>
      <c r="E189" s="2">
        <v>34</v>
      </c>
      <c r="F189" s="2">
        <v>48</v>
      </c>
      <c r="G189" s="2">
        <v>76</v>
      </c>
      <c r="H189" s="2">
        <v>3</v>
      </c>
      <c r="I189" s="2">
        <f t="shared" si="4"/>
        <v>6.7058823529411766</v>
      </c>
      <c r="J189">
        <f t="shared" si="5"/>
        <v>22</v>
      </c>
    </row>
    <row r="190" spans="2:10" ht="15.75" hidden="1" customHeight="1" x14ac:dyDescent="0.3">
      <c r="B190" s="9">
        <v>105</v>
      </c>
      <c r="C190" s="1" t="s">
        <v>15</v>
      </c>
      <c r="D190" s="1" t="s">
        <v>16</v>
      </c>
      <c r="E190" s="1">
        <v>25</v>
      </c>
      <c r="F190" s="1">
        <v>30</v>
      </c>
      <c r="G190" s="1">
        <v>60</v>
      </c>
      <c r="H190" s="1">
        <v>2</v>
      </c>
      <c r="I190" s="1">
        <f t="shared" si="4"/>
        <v>4.8</v>
      </c>
      <c r="J190">
        <f t="shared" si="5"/>
        <v>23</v>
      </c>
    </row>
    <row r="191" spans="2:10" ht="15.75" hidden="1" customHeight="1" x14ac:dyDescent="0.3">
      <c r="B191" s="10">
        <v>116</v>
      </c>
      <c r="C191" s="2" t="s">
        <v>27</v>
      </c>
      <c r="D191" s="2" t="s">
        <v>16</v>
      </c>
      <c r="E191" s="2">
        <v>26</v>
      </c>
      <c r="F191" s="2">
        <v>32</v>
      </c>
      <c r="G191" s="2">
        <v>62</v>
      </c>
      <c r="H191" s="2">
        <v>2</v>
      </c>
      <c r="I191" s="2">
        <f t="shared" si="4"/>
        <v>4.7692307692307692</v>
      </c>
      <c r="J191">
        <f t="shared" si="5"/>
        <v>24</v>
      </c>
    </row>
    <row r="192" spans="2:10" ht="15.75" hidden="1" customHeight="1" x14ac:dyDescent="0.3">
      <c r="B192" s="9">
        <v>121</v>
      </c>
      <c r="C192" s="1" t="s">
        <v>32</v>
      </c>
      <c r="D192" s="1" t="s">
        <v>16</v>
      </c>
      <c r="E192" s="1">
        <v>27</v>
      </c>
      <c r="F192" s="1">
        <v>34</v>
      </c>
      <c r="G192" s="1">
        <v>64</v>
      </c>
      <c r="H192" s="1">
        <v>2</v>
      </c>
      <c r="I192" s="1">
        <f t="shared" si="4"/>
        <v>4.7407407407407405</v>
      </c>
      <c r="J192">
        <f t="shared" si="5"/>
        <v>25</v>
      </c>
    </row>
    <row r="197" spans="1:18" ht="24.6" x14ac:dyDescent="0.4">
      <c r="A197" s="4"/>
      <c r="B197" s="4"/>
      <c r="C197" s="4"/>
      <c r="D197" s="4"/>
      <c r="E197" s="4"/>
      <c r="F197" s="5" t="s">
        <v>64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200" spans="1:18" ht="15.75" customHeight="1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t="s">
        <v>45</v>
      </c>
      <c r="I200" t="s">
        <v>46</v>
      </c>
      <c r="J200" t="s">
        <v>63</v>
      </c>
    </row>
    <row r="201" spans="1:18" ht="15.75" customHeight="1" x14ac:dyDescent="0.25">
      <c r="A201">
        <v>102</v>
      </c>
      <c r="B201" s="16" t="s">
        <v>9</v>
      </c>
      <c r="C201" s="16" t="s">
        <v>10</v>
      </c>
      <c r="D201">
        <v>40</v>
      </c>
      <c r="E201">
        <v>65</v>
      </c>
      <c r="F201">
        <v>90</v>
      </c>
      <c r="G201">
        <v>5</v>
      </c>
      <c r="H201">
        <f t="shared" ref="H201:H225" si="6">(F201 * G201) / D201</f>
        <v>11.25</v>
      </c>
      <c r="I201">
        <f t="shared" ref="I201:I225" si="7">RANK(H201,$H$2:$H$26,0)</f>
        <v>1</v>
      </c>
      <c r="J201">
        <f>(Table38[Tasks_Completed] / D201:D224)</f>
        <v>1.625</v>
      </c>
    </row>
    <row r="202" spans="1:18" ht="15.75" customHeight="1" x14ac:dyDescent="0.25">
      <c r="A202">
        <v>109</v>
      </c>
      <c r="B202" s="16" t="s">
        <v>20</v>
      </c>
      <c r="C202" s="16" t="s">
        <v>10</v>
      </c>
      <c r="D202">
        <v>42</v>
      </c>
      <c r="E202">
        <v>70</v>
      </c>
      <c r="F202">
        <v>92</v>
      </c>
      <c r="G202">
        <v>5</v>
      </c>
      <c r="H202">
        <f t="shared" si="6"/>
        <v>10.952380952380953</v>
      </c>
      <c r="I202">
        <f t="shared" si="7"/>
        <v>2</v>
      </c>
      <c r="J202">
        <f>(Table38[Tasks_Completed] / D202:D225)</f>
        <v>1.6666666666666667</v>
      </c>
    </row>
    <row r="203" spans="1:18" ht="15.75" customHeight="1" x14ac:dyDescent="0.25">
      <c r="A203">
        <v>118</v>
      </c>
      <c r="B203" s="16" t="s">
        <v>29</v>
      </c>
      <c r="C203" s="16" t="s">
        <v>10</v>
      </c>
      <c r="D203">
        <v>43</v>
      </c>
      <c r="E203">
        <v>75</v>
      </c>
      <c r="F203">
        <v>93</v>
      </c>
      <c r="G203">
        <v>5</v>
      </c>
      <c r="H203">
        <f t="shared" si="6"/>
        <v>10.813953488372093</v>
      </c>
      <c r="I203">
        <f t="shared" si="7"/>
        <v>3</v>
      </c>
      <c r="J203">
        <f>(Table38[Tasks_Completed] / D203:D226)</f>
        <v>1.7441860465116279</v>
      </c>
    </row>
    <row r="204" spans="1:18" ht="15.75" customHeight="1" x14ac:dyDescent="0.25">
      <c r="A204">
        <v>112</v>
      </c>
      <c r="B204" s="16" t="s">
        <v>23</v>
      </c>
      <c r="C204" s="16" t="s">
        <v>10</v>
      </c>
      <c r="D204">
        <v>44</v>
      </c>
      <c r="E204">
        <v>73</v>
      </c>
      <c r="F204">
        <v>94</v>
      </c>
      <c r="G204">
        <v>5</v>
      </c>
      <c r="H204">
        <f t="shared" si="6"/>
        <v>10.681818181818182</v>
      </c>
      <c r="I204">
        <f t="shared" si="7"/>
        <v>4</v>
      </c>
      <c r="J204">
        <f>(Table38[Tasks_Completed] / D204:D227)</f>
        <v>1.6590909090909092</v>
      </c>
    </row>
    <row r="205" spans="1:18" ht="15.75" customHeight="1" x14ac:dyDescent="0.25">
      <c r="A205">
        <v>104</v>
      </c>
      <c r="B205" s="16" t="s">
        <v>13</v>
      </c>
      <c r="C205" s="16" t="s">
        <v>14</v>
      </c>
      <c r="D205">
        <v>45</v>
      </c>
      <c r="E205">
        <v>75</v>
      </c>
      <c r="F205">
        <v>95</v>
      </c>
      <c r="G205">
        <v>5</v>
      </c>
      <c r="H205">
        <f t="shared" si="6"/>
        <v>10.555555555555555</v>
      </c>
      <c r="I205">
        <f t="shared" si="7"/>
        <v>5</v>
      </c>
      <c r="J205">
        <f>(Table38[Tasks_Completed] / D205:D228)</f>
        <v>1.6666666666666667</v>
      </c>
    </row>
    <row r="206" spans="1:18" ht="15.75" customHeight="1" x14ac:dyDescent="0.25">
      <c r="A206">
        <v>125</v>
      </c>
      <c r="B206" s="16" t="s">
        <v>36</v>
      </c>
      <c r="C206" s="16" t="s">
        <v>14</v>
      </c>
      <c r="D206">
        <v>47</v>
      </c>
      <c r="E206">
        <v>79</v>
      </c>
      <c r="F206">
        <v>99</v>
      </c>
      <c r="G206">
        <v>5</v>
      </c>
      <c r="H206">
        <f t="shared" si="6"/>
        <v>10.531914893617021</v>
      </c>
      <c r="I206">
        <f t="shared" si="7"/>
        <v>6</v>
      </c>
      <c r="J206">
        <f>(Table38[Tasks_Completed] / D206:D229)</f>
        <v>1.6808510638297873</v>
      </c>
    </row>
    <row r="207" spans="1:18" ht="15.75" customHeight="1" x14ac:dyDescent="0.25">
      <c r="A207">
        <v>123</v>
      </c>
      <c r="B207" s="16" t="s">
        <v>34</v>
      </c>
      <c r="C207" s="16" t="s">
        <v>10</v>
      </c>
      <c r="D207">
        <v>46</v>
      </c>
      <c r="E207">
        <v>77</v>
      </c>
      <c r="F207">
        <v>96</v>
      </c>
      <c r="G207">
        <v>5</v>
      </c>
      <c r="H207">
        <f t="shared" si="6"/>
        <v>10.434782608695652</v>
      </c>
      <c r="I207">
        <f t="shared" si="7"/>
        <v>7</v>
      </c>
      <c r="J207">
        <f>(Table38[Tasks_Completed] / D207:D230)</f>
        <v>1.673913043478261</v>
      </c>
    </row>
    <row r="208" spans="1:18" ht="15.75" customHeight="1" x14ac:dyDescent="0.25">
      <c r="A208">
        <v>115</v>
      </c>
      <c r="B208" s="16" t="s">
        <v>26</v>
      </c>
      <c r="C208" s="16" t="s">
        <v>14</v>
      </c>
      <c r="D208">
        <v>48</v>
      </c>
      <c r="E208">
        <v>78</v>
      </c>
      <c r="F208">
        <v>98</v>
      </c>
      <c r="G208">
        <v>5</v>
      </c>
      <c r="H208">
        <f t="shared" si="6"/>
        <v>10.208333333333334</v>
      </c>
      <c r="I208">
        <f t="shared" si="7"/>
        <v>8</v>
      </c>
      <c r="J208">
        <f>(Table38[Tasks_Completed] / D208:D231)</f>
        <v>1.625</v>
      </c>
    </row>
    <row r="209" spans="1:10" ht="15.75" customHeight="1" x14ac:dyDescent="0.25">
      <c r="A209">
        <v>107</v>
      </c>
      <c r="B209" s="16" t="s">
        <v>18</v>
      </c>
      <c r="C209" s="16" t="s">
        <v>14</v>
      </c>
      <c r="D209">
        <v>50</v>
      </c>
      <c r="E209">
        <v>80</v>
      </c>
      <c r="F209">
        <v>100</v>
      </c>
      <c r="G209">
        <v>5</v>
      </c>
      <c r="H209">
        <f t="shared" si="6"/>
        <v>10</v>
      </c>
      <c r="I209">
        <f t="shared" si="7"/>
        <v>9</v>
      </c>
      <c r="J209">
        <f>(Table38[Tasks_Completed] / D209:D232)</f>
        <v>1.6</v>
      </c>
    </row>
    <row r="210" spans="1:10" ht="15.75" customHeight="1" x14ac:dyDescent="0.25">
      <c r="A210">
        <v>101</v>
      </c>
      <c r="B210" s="16" t="s">
        <v>7</v>
      </c>
      <c r="C210" s="16" t="s">
        <v>8</v>
      </c>
      <c r="D210">
        <v>35</v>
      </c>
      <c r="E210">
        <v>50</v>
      </c>
      <c r="F210">
        <v>80</v>
      </c>
      <c r="G210">
        <v>4</v>
      </c>
      <c r="H210">
        <f t="shared" si="6"/>
        <v>9.1428571428571423</v>
      </c>
      <c r="I210">
        <f t="shared" si="7"/>
        <v>10</v>
      </c>
      <c r="J210">
        <f>(Table38[Tasks_Completed] / D210:D233)</f>
        <v>1.4285714285714286</v>
      </c>
    </row>
    <row r="211" spans="1:10" ht="15.75" customHeight="1" x14ac:dyDescent="0.25">
      <c r="A211">
        <v>110</v>
      </c>
      <c r="B211" s="16" t="s">
        <v>21</v>
      </c>
      <c r="C211" s="16" t="s">
        <v>8</v>
      </c>
      <c r="D211">
        <v>37</v>
      </c>
      <c r="E211">
        <v>55</v>
      </c>
      <c r="F211">
        <v>83</v>
      </c>
      <c r="G211">
        <v>4</v>
      </c>
      <c r="H211">
        <f t="shared" si="6"/>
        <v>8.9729729729729737</v>
      </c>
      <c r="I211">
        <f t="shared" si="7"/>
        <v>11</v>
      </c>
      <c r="J211">
        <f>(Table38[Tasks_Completed] / D211:D234)</f>
        <v>1.4864864864864864</v>
      </c>
    </row>
    <row r="212" spans="1:10" ht="15.75" customHeight="1" x14ac:dyDescent="0.25">
      <c r="A212">
        <v>106</v>
      </c>
      <c r="B212" s="16" t="s">
        <v>17</v>
      </c>
      <c r="C212" s="16" t="s">
        <v>8</v>
      </c>
      <c r="D212">
        <v>38</v>
      </c>
      <c r="E212">
        <v>58</v>
      </c>
      <c r="F212">
        <v>85</v>
      </c>
      <c r="G212">
        <v>4</v>
      </c>
      <c r="H212">
        <f t="shared" si="6"/>
        <v>8.9473684210526319</v>
      </c>
      <c r="I212">
        <f t="shared" si="7"/>
        <v>12</v>
      </c>
      <c r="J212">
        <f>(Table38[Tasks_Completed] / D212:D235)</f>
        <v>1.5263157894736843</v>
      </c>
    </row>
    <row r="213" spans="1:10" ht="15.75" customHeight="1" x14ac:dyDescent="0.25">
      <c r="A213">
        <v>119</v>
      </c>
      <c r="B213" s="16" t="s">
        <v>30</v>
      </c>
      <c r="C213" s="16" t="s">
        <v>14</v>
      </c>
      <c r="D213">
        <v>39</v>
      </c>
      <c r="E213">
        <v>60</v>
      </c>
      <c r="F213">
        <v>87</v>
      </c>
      <c r="G213">
        <v>4</v>
      </c>
      <c r="H213">
        <f t="shared" si="6"/>
        <v>8.9230769230769234</v>
      </c>
      <c r="I213">
        <f t="shared" si="7"/>
        <v>13</v>
      </c>
      <c r="J213">
        <f>(Table38[Tasks_Completed] / D213:D236)</f>
        <v>1.5384615384615385</v>
      </c>
    </row>
    <row r="214" spans="1:10" ht="15.75" customHeight="1" x14ac:dyDescent="0.25">
      <c r="A214">
        <v>114</v>
      </c>
      <c r="B214" s="16" t="s">
        <v>25</v>
      </c>
      <c r="C214" s="16" t="s">
        <v>8</v>
      </c>
      <c r="D214">
        <v>41</v>
      </c>
      <c r="E214">
        <v>66</v>
      </c>
      <c r="F214">
        <v>89</v>
      </c>
      <c r="G214">
        <v>4</v>
      </c>
      <c r="H214">
        <f t="shared" si="6"/>
        <v>8.6829268292682933</v>
      </c>
      <c r="I214">
        <f t="shared" si="7"/>
        <v>14</v>
      </c>
      <c r="J214">
        <f>(Table38[Tasks_Completed] / D214:D237)</f>
        <v>1.6097560975609757</v>
      </c>
    </row>
    <row r="215" spans="1:10" ht="15.75" customHeight="1" x14ac:dyDescent="0.25">
      <c r="A215">
        <v>120</v>
      </c>
      <c r="B215" s="16" t="s">
        <v>31</v>
      </c>
      <c r="C215" s="16" t="s">
        <v>8</v>
      </c>
      <c r="D215">
        <v>36</v>
      </c>
      <c r="E215">
        <v>52</v>
      </c>
      <c r="F215">
        <v>78</v>
      </c>
      <c r="G215">
        <v>4</v>
      </c>
      <c r="H215">
        <f t="shared" si="6"/>
        <v>8.6666666666666661</v>
      </c>
      <c r="I215">
        <f t="shared" si="7"/>
        <v>15</v>
      </c>
      <c r="J215">
        <f>(Table38[Tasks_Completed] / D215:D238)</f>
        <v>1.4444444444444444</v>
      </c>
    </row>
    <row r="216" spans="1:10" ht="15.75" customHeight="1" x14ac:dyDescent="0.25">
      <c r="A216">
        <v>111</v>
      </c>
      <c r="B216" s="16" t="s">
        <v>22</v>
      </c>
      <c r="C216" s="16" t="s">
        <v>16</v>
      </c>
      <c r="D216">
        <v>29</v>
      </c>
      <c r="E216">
        <v>38</v>
      </c>
      <c r="F216">
        <v>68</v>
      </c>
      <c r="G216">
        <v>3</v>
      </c>
      <c r="H216">
        <f t="shared" si="6"/>
        <v>7.0344827586206895</v>
      </c>
      <c r="I216">
        <f t="shared" si="7"/>
        <v>16</v>
      </c>
      <c r="J216">
        <f>(Table38[Tasks_Completed] / D216:D239)</f>
        <v>1.3103448275862069</v>
      </c>
    </row>
    <row r="217" spans="1:10" ht="15.75" customHeight="1" x14ac:dyDescent="0.25">
      <c r="A217">
        <v>103</v>
      </c>
      <c r="B217" s="16" t="s">
        <v>11</v>
      </c>
      <c r="C217" s="16" t="s">
        <v>12</v>
      </c>
      <c r="D217">
        <v>30</v>
      </c>
      <c r="E217">
        <v>40</v>
      </c>
      <c r="F217">
        <v>70</v>
      </c>
      <c r="G217">
        <v>3</v>
      </c>
      <c r="H217">
        <f t="shared" si="6"/>
        <v>7</v>
      </c>
      <c r="I217">
        <f t="shared" si="7"/>
        <v>17</v>
      </c>
      <c r="J217">
        <f>(Table38[Tasks_Completed] / D217:D240)</f>
        <v>1.3333333333333333</v>
      </c>
    </row>
    <row r="218" spans="1:10" ht="15.75" customHeight="1" x14ac:dyDescent="0.25">
      <c r="A218">
        <v>117</v>
      </c>
      <c r="B218" s="16" t="s">
        <v>28</v>
      </c>
      <c r="C218" s="16" t="s">
        <v>12</v>
      </c>
      <c r="D218">
        <v>31</v>
      </c>
      <c r="E218">
        <v>42</v>
      </c>
      <c r="F218">
        <v>72</v>
      </c>
      <c r="G218">
        <v>3</v>
      </c>
      <c r="H218">
        <f t="shared" si="6"/>
        <v>6.967741935483871</v>
      </c>
      <c r="I218">
        <f t="shared" si="7"/>
        <v>18</v>
      </c>
      <c r="J218">
        <f>(Table38[Tasks_Completed] / D218:D241)</f>
        <v>1.3548387096774193</v>
      </c>
    </row>
    <row r="219" spans="1:10" ht="15.75" customHeight="1" x14ac:dyDescent="0.25">
      <c r="A219">
        <v>108</v>
      </c>
      <c r="B219" s="16" t="s">
        <v>19</v>
      </c>
      <c r="C219" s="16" t="s">
        <v>12</v>
      </c>
      <c r="D219">
        <v>28</v>
      </c>
      <c r="E219">
        <v>35</v>
      </c>
      <c r="F219">
        <v>65</v>
      </c>
      <c r="G219">
        <v>3</v>
      </c>
      <c r="H219">
        <f t="shared" si="6"/>
        <v>6.9642857142857144</v>
      </c>
      <c r="I219">
        <f t="shared" si="7"/>
        <v>19</v>
      </c>
      <c r="J219">
        <f>(Table38[Tasks_Completed] / D219:D242)</f>
        <v>1.25</v>
      </c>
    </row>
    <row r="220" spans="1:10" ht="15.75" customHeight="1" x14ac:dyDescent="0.25">
      <c r="A220">
        <v>122</v>
      </c>
      <c r="B220" s="16" t="s">
        <v>33</v>
      </c>
      <c r="C220" s="16" t="s">
        <v>12</v>
      </c>
      <c r="D220">
        <v>32</v>
      </c>
      <c r="E220">
        <v>44</v>
      </c>
      <c r="F220">
        <v>74</v>
      </c>
      <c r="G220">
        <v>3</v>
      </c>
      <c r="H220">
        <f t="shared" si="6"/>
        <v>6.9375</v>
      </c>
      <c r="I220">
        <f t="shared" si="7"/>
        <v>20</v>
      </c>
      <c r="J220">
        <f>(Table38[Tasks_Completed] / D220:D243)</f>
        <v>1.375</v>
      </c>
    </row>
    <row r="221" spans="1:10" ht="15.75" customHeight="1" x14ac:dyDescent="0.25">
      <c r="A221">
        <v>113</v>
      </c>
      <c r="B221" s="16" t="s">
        <v>24</v>
      </c>
      <c r="C221" s="16" t="s">
        <v>12</v>
      </c>
      <c r="D221">
        <v>33</v>
      </c>
      <c r="E221">
        <v>45</v>
      </c>
      <c r="F221">
        <v>75</v>
      </c>
      <c r="G221">
        <v>3</v>
      </c>
      <c r="H221">
        <f t="shared" si="6"/>
        <v>6.8181818181818183</v>
      </c>
      <c r="I221">
        <f t="shared" si="7"/>
        <v>21</v>
      </c>
      <c r="J221">
        <f>(Table38[Tasks_Completed] / D221:D244)</f>
        <v>1.3636363636363635</v>
      </c>
    </row>
    <row r="222" spans="1:10" ht="15.75" customHeight="1" x14ac:dyDescent="0.25">
      <c r="A222">
        <v>124</v>
      </c>
      <c r="B222" s="16" t="s">
        <v>35</v>
      </c>
      <c r="C222" s="16" t="s">
        <v>8</v>
      </c>
      <c r="D222">
        <v>34</v>
      </c>
      <c r="E222">
        <v>48</v>
      </c>
      <c r="F222">
        <v>76</v>
      </c>
      <c r="G222">
        <v>3</v>
      </c>
      <c r="H222">
        <f t="shared" si="6"/>
        <v>6.7058823529411766</v>
      </c>
      <c r="I222">
        <f t="shared" si="7"/>
        <v>22</v>
      </c>
      <c r="J222">
        <f>(Table38[Tasks_Completed] / D222:D245)</f>
        <v>1.411764705882353</v>
      </c>
    </row>
    <row r="223" spans="1:10" ht="15.75" customHeight="1" x14ac:dyDescent="0.25">
      <c r="A223">
        <v>105</v>
      </c>
      <c r="B223" s="16" t="s">
        <v>15</v>
      </c>
      <c r="C223" s="16" t="s">
        <v>16</v>
      </c>
      <c r="D223">
        <v>25</v>
      </c>
      <c r="E223">
        <v>30</v>
      </c>
      <c r="F223">
        <v>60</v>
      </c>
      <c r="G223">
        <v>2</v>
      </c>
      <c r="H223">
        <f t="shared" si="6"/>
        <v>4.8</v>
      </c>
      <c r="I223">
        <f t="shared" si="7"/>
        <v>23</v>
      </c>
      <c r="J223">
        <f>(Table38[Tasks_Completed] / D223:D246)</f>
        <v>1.2</v>
      </c>
    </row>
    <row r="224" spans="1:10" ht="15.75" customHeight="1" x14ac:dyDescent="0.25">
      <c r="A224">
        <v>116</v>
      </c>
      <c r="B224" s="16" t="s">
        <v>27</v>
      </c>
      <c r="C224" s="16" t="s">
        <v>16</v>
      </c>
      <c r="D224">
        <v>26</v>
      </c>
      <c r="E224">
        <v>32</v>
      </c>
      <c r="F224">
        <v>62</v>
      </c>
      <c r="G224">
        <v>2</v>
      </c>
      <c r="H224">
        <f t="shared" si="6"/>
        <v>4.7692307692307692</v>
      </c>
      <c r="I224">
        <f t="shared" si="7"/>
        <v>24</v>
      </c>
      <c r="J224">
        <f>(Table38[Tasks_Completed] / D224:D247)</f>
        <v>1.2307692307692308</v>
      </c>
    </row>
    <row r="225" spans="1:11" ht="15.75" customHeight="1" x14ac:dyDescent="0.25">
      <c r="A225">
        <v>121</v>
      </c>
      <c r="B225" s="16" t="s">
        <v>32</v>
      </c>
      <c r="C225" s="16" t="s">
        <v>16</v>
      </c>
      <c r="D225">
        <v>27</v>
      </c>
      <c r="E225">
        <v>34</v>
      </c>
      <c r="F225">
        <v>64</v>
      </c>
      <c r="G225">
        <v>2</v>
      </c>
      <c r="H225">
        <f t="shared" si="6"/>
        <v>4.7407407407407405</v>
      </c>
      <c r="I225">
        <f t="shared" si="7"/>
        <v>25</v>
      </c>
      <c r="J225">
        <f>(Table38[Tasks_Completed] / D225:D248)</f>
        <v>1.2592592592592593</v>
      </c>
    </row>
    <row r="229" spans="1:11" ht="20.399999999999999" x14ac:dyDescent="0.35">
      <c r="B229" s="31" t="s">
        <v>65</v>
      </c>
      <c r="C229" s="31"/>
      <c r="E229" s="31" t="s">
        <v>66</v>
      </c>
      <c r="F229" s="31"/>
      <c r="G229" s="31"/>
      <c r="I229" s="33" t="s">
        <v>67</v>
      </c>
      <c r="J229" s="33"/>
      <c r="K229" s="33"/>
    </row>
    <row r="230" spans="1:11" ht="15.75" customHeight="1" x14ac:dyDescent="0.3">
      <c r="B230" s="29">
        <f>MAX(J201:J225)</f>
        <v>1.7441860465116279</v>
      </c>
      <c r="C230" s="29"/>
      <c r="E230" s="29"/>
      <c r="F230" s="32" t="str">
        <f>INDEX(Table38[Name],MATCH(B230,Table38[Tasks per Hour],0))</f>
        <v>Arjun</v>
      </c>
      <c r="G230" s="29"/>
      <c r="I230" s="32"/>
      <c r="J230" s="32" t="str">
        <f>INDEX(Table38[Department],MATCH(B230,Table38[Tasks per Hour],0))</f>
        <v>Marketing</v>
      </c>
      <c r="K230" s="32"/>
    </row>
    <row r="233" spans="1:11" ht="15.75" customHeight="1" x14ac:dyDescent="0.25">
      <c r="B233" s="34" t="s">
        <v>68</v>
      </c>
      <c r="C233" s="34"/>
      <c r="D233" s="34"/>
      <c r="E233" s="34"/>
      <c r="F233" s="34"/>
      <c r="G233" s="34"/>
      <c r="H233" s="34"/>
      <c r="I233" s="34"/>
      <c r="J233" s="34"/>
    </row>
    <row r="234" spans="1:11" ht="15.75" customHeight="1" x14ac:dyDescent="0.25">
      <c r="B234" s="34"/>
      <c r="C234" s="34"/>
      <c r="D234" s="34"/>
      <c r="E234" s="34"/>
      <c r="F234" s="34"/>
      <c r="G234" s="34"/>
      <c r="H234" s="34"/>
      <c r="I234" s="34"/>
      <c r="J234" s="34"/>
    </row>
    <row r="235" spans="1:11" ht="15.75" customHeight="1" x14ac:dyDescent="0.25">
      <c r="B235" s="34"/>
      <c r="C235" s="34"/>
      <c r="D235" s="34"/>
      <c r="E235" s="34"/>
      <c r="F235" s="34"/>
      <c r="G235" s="34"/>
      <c r="H235" s="34"/>
      <c r="I235" s="34"/>
      <c r="J235" s="34"/>
    </row>
    <row r="236" spans="1:11" ht="15.75" customHeight="1" x14ac:dyDescent="0.25">
      <c r="B236" s="34"/>
      <c r="C236" s="34"/>
      <c r="D236" s="34"/>
      <c r="E236" s="34"/>
      <c r="F236" s="34"/>
      <c r="G236" s="34"/>
      <c r="H236" s="34"/>
      <c r="I236" s="34"/>
      <c r="J236" s="34"/>
    </row>
    <row r="237" spans="1:11" ht="15.75" customHeight="1" x14ac:dyDescent="0.25">
      <c r="B237" s="34"/>
      <c r="C237" s="34"/>
      <c r="D237" s="34"/>
      <c r="E237" s="34"/>
      <c r="F237" s="34"/>
      <c r="G237" s="34"/>
      <c r="H237" s="34"/>
      <c r="I237" s="34"/>
      <c r="J237" s="34"/>
    </row>
    <row r="238" spans="1:11" ht="15.75" customHeight="1" x14ac:dyDescent="0.25">
      <c r="B238" s="34"/>
      <c r="C238" s="34"/>
      <c r="D238" s="34"/>
      <c r="E238" s="34"/>
      <c r="F238" s="34"/>
      <c r="G238" s="34"/>
      <c r="H238" s="34"/>
      <c r="I238" s="34"/>
      <c r="J238" s="34"/>
    </row>
    <row r="239" spans="1:11" ht="15.75" customHeight="1" x14ac:dyDescent="0.25">
      <c r="B239" s="34"/>
      <c r="C239" s="34"/>
      <c r="D239" s="34"/>
      <c r="E239" s="34"/>
      <c r="F239" s="34"/>
      <c r="G239" s="34"/>
      <c r="H239" s="34"/>
      <c r="I239" s="34"/>
      <c r="J239" s="34"/>
    </row>
    <row r="240" spans="1:11" ht="15.75" customHeight="1" x14ac:dyDescent="0.25">
      <c r="B240" s="34"/>
      <c r="C240" s="34"/>
      <c r="D240" s="34"/>
      <c r="E240" s="34"/>
      <c r="F240" s="34"/>
      <c r="G240" s="34"/>
      <c r="H240" s="34"/>
      <c r="I240" s="34"/>
      <c r="J240" s="34"/>
    </row>
  </sheetData>
  <sortState xmlns:xlrd2="http://schemas.microsoft.com/office/spreadsheetml/2017/richdata2" ref="A2:I26">
    <sortCondition ref="I2:I26"/>
  </sortState>
  <mergeCells count="5">
    <mergeCell ref="G144:G145"/>
    <mergeCell ref="B229:C229"/>
    <mergeCell ref="E229:G229"/>
    <mergeCell ref="I229:K229"/>
    <mergeCell ref="B233:J240"/>
  </mergeCells>
  <phoneticPr fontId="13" type="noConversion"/>
  <pageMargins left="0.7" right="0.7" top="0.75" bottom="0.75" header="0.3" footer="0.3"/>
  <ignoredErrors>
    <ignoredError sqref="J201:J225 J2:J26" formulaRange="1"/>
  </ignoredErrors>
  <drawing r:id="rId2"/>
  <tableParts count="5"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Saini</dc:creator>
  <cp:lastModifiedBy>Ashish Saini</cp:lastModifiedBy>
  <dcterms:created xsi:type="dcterms:W3CDTF">2026-06-11T15:42:29Z</dcterms:created>
  <dcterms:modified xsi:type="dcterms:W3CDTF">2026-06-11T16:21:54Z</dcterms:modified>
</cp:coreProperties>
</file>