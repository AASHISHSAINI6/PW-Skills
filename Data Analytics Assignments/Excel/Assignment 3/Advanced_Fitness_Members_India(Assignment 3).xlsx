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tables/table3.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aashi\Desktop\PW Skills\Excel assingement\Assignment 3\"/>
    </mc:Choice>
  </mc:AlternateContent>
  <xr:revisionPtr revIDLastSave="0" documentId="13_ncr:1_{DD378514-7275-483A-8A98-3DAA42AA9A69}" xr6:coauthVersionLast="47" xr6:coauthVersionMax="47" xr10:uidLastSave="{00000000-0000-0000-0000-000000000000}"/>
  <bookViews>
    <workbookView xWindow="-108" yWindow="-108" windowWidth="23256" windowHeight="13176" xr2:uid="{00000000-000D-0000-FFFF-FFFF00000000}"/>
  </bookViews>
  <sheets>
    <sheet name="Q.1" sheetId="1" r:id="rId1"/>
    <sheet name="Q.2" sheetId="2" r:id="rId2"/>
    <sheet name="Q.3" sheetId="3" r:id="rId3"/>
    <sheet name="Q.4" sheetId="4" r:id="rId4"/>
    <sheet name="Q.5" sheetId="5" r:id="rId5"/>
    <sheet name="Q.6" sheetId="6" r:id="rId6"/>
  </sheets>
  <definedNames>
    <definedName name="Slicer_City">#N/A</definedName>
    <definedName name="Slicer_Membership_Type">#N/A</definedName>
    <definedName name="Slicer_Referred">#N/A</definedName>
  </definedNames>
  <calcPr calcId="191029"/>
  <pivotCaches>
    <pivotCache cacheId="0" r:id="rId7"/>
    <pivotCache cacheId="1" r:id="rId8"/>
    <pivotCache cacheId="2" r:id="rId9"/>
    <pivotCache cacheId="3"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9" i="6" l="1"/>
  <c r="M39" i="6"/>
  <c r="L39" i="6"/>
  <c r="O39" i="6" s="1"/>
  <c r="P38" i="6"/>
  <c r="M38" i="6"/>
  <c r="L38" i="6"/>
  <c r="O38" i="6" s="1"/>
  <c r="P37" i="6"/>
  <c r="M37" i="6"/>
  <c r="L37" i="6"/>
  <c r="O37" i="6" s="1"/>
  <c r="P36" i="6"/>
  <c r="M36" i="6"/>
  <c r="L36" i="6"/>
  <c r="O36" i="6" s="1"/>
  <c r="P35" i="6"/>
  <c r="M35" i="6"/>
  <c r="L35" i="6"/>
  <c r="O35" i="6" s="1"/>
  <c r="P34" i="6"/>
  <c r="M34" i="6"/>
  <c r="L34" i="6"/>
  <c r="O34" i="6" s="1"/>
  <c r="P33" i="6"/>
  <c r="O33" i="6"/>
  <c r="M33" i="6"/>
  <c r="L33" i="6"/>
  <c r="N33" i="6" s="1"/>
  <c r="P32" i="6"/>
  <c r="M32" i="6"/>
  <c r="L32" i="6"/>
  <c r="O32" i="6" s="1"/>
  <c r="P31" i="6"/>
  <c r="M31" i="6"/>
  <c r="L31" i="6"/>
  <c r="O31" i="6" s="1"/>
  <c r="P30" i="6"/>
  <c r="O30" i="6"/>
  <c r="N30" i="6"/>
  <c r="M30" i="6"/>
  <c r="L30" i="6"/>
  <c r="P29" i="6"/>
  <c r="M29" i="6"/>
  <c r="L29" i="6"/>
  <c r="O29" i="6" s="1"/>
  <c r="P28" i="6"/>
  <c r="M28" i="6"/>
  <c r="L28" i="6"/>
  <c r="O28" i="6" s="1"/>
  <c r="P27" i="6"/>
  <c r="O27" i="6"/>
  <c r="N27" i="6"/>
  <c r="M27" i="6"/>
  <c r="L27" i="6"/>
  <c r="P26" i="6"/>
  <c r="M26" i="6"/>
  <c r="L26" i="6"/>
  <c r="O26" i="6" s="1"/>
  <c r="P25" i="6"/>
  <c r="M25" i="6"/>
  <c r="L25" i="6"/>
  <c r="O25" i="6" s="1"/>
  <c r="P24" i="6"/>
  <c r="M24" i="6"/>
  <c r="L24" i="6"/>
  <c r="O24" i="6" s="1"/>
  <c r="P23" i="6"/>
  <c r="M23" i="6"/>
  <c r="L23" i="6"/>
  <c r="O23" i="6" s="1"/>
  <c r="P22" i="6"/>
  <c r="M22" i="6"/>
  <c r="L22" i="6"/>
  <c r="O22" i="6" s="1"/>
  <c r="P21" i="6"/>
  <c r="M21" i="6"/>
  <c r="L21" i="6"/>
  <c r="O21" i="6" s="1"/>
  <c r="P20" i="6"/>
  <c r="M20" i="6"/>
  <c r="L20" i="6"/>
  <c r="O20" i="6" s="1"/>
  <c r="P19" i="6"/>
  <c r="M19" i="6"/>
  <c r="L19" i="6"/>
  <c r="O19" i="6" s="1"/>
  <c r="P18" i="6"/>
  <c r="M18" i="6"/>
  <c r="L18" i="6"/>
  <c r="O18" i="6" s="1"/>
  <c r="P17" i="6"/>
  <c r="O17" i="6"/>
  <c r="M17" i="6"/>
  <c r="L17" i="6"/>
  <c r="N17" i="6" s="1"/>
  <c r="P16" i="6"/>
  <c r="M16" i="6"/>
  <c r="L16" i="6"/>
  <c r="O16" i="6" s="1"/>
  <c r="P15" i="6"/>
  <c r="M15" i="6"/>
  <c r="L15" i="6"/>
  <c r="N15" i="6" s="1"/>
  <c r="P14" i="6"/>
  <c r="O14" i="6"/>
  <c r="N14" i="6"/>
  <c r="M14" i="6"/>
  <c r="L14" i="6"/>
  <c r="P13" i="6"/>
  <c r="M13" i="6"/>
  <c r="L13" i="6"/>
  <c r="O13" i="6" s="1"/>
  <c r="P12" i="6"/>
  <c r="M12" i="6"/>
  <c r="L12" i="6"/>
  <c r="O12" i="6" s="1"/>
  <c r="P11" i="6"/>
  <c r="O11" i="6"/>
  <c r="N11" i="6"/>
  <c r="M11" i="6"/>
  <c r="L11" i="6"/>
  <c r="P10" i="6"/>
  <c r="M10" i="6"/>
  <c r="L10" i="6"/>
  <c r="O10" i="6" s="1"/>
  <c r="P9" i="6"/>
  <c r="M9" i="6"/>
  <c r="L9" i="6"/>
  <c r="O9" i="6" s="1"/>
  <c r="P8" i="6"/>
  <c r="M8" i="6"/>
  <c r="L8" i="6"/>
  <c r="O8" i="6" s="1"/>
  <c r="P7" i="6"/>
  <c r="M7" i="6"/>
  <c r="L7" i="6"/>
  <c r="O7" i="6" s="1"/>
  <c r="P6" i="6"/>
  <c r="M6" i="6"/>
  <c r="L6" i="6"/>
  <c r="O6" i="6" s="1"/>
  <c r="P5" i="6"/>
  <c r="M5" i="6"/>
  <c r="L5" i="6"/>
  <c r="O5" i="6" s="1"/>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P36" i="1"/>
  <c r="M36" i="1"/>
  <c r="L36" i="1"/>
  <c r="O36" i="1" s="1"/>
  <c r="P35" i="1"/>
  <c r="M35" i="1"/>
  <c r="L35" i="1"/>
  <c r="O35" i="1" s="1"/>
  <c r="P34" i="1"/>
  <c r="M34" i="1"/>
  <c r="L34" i="1"/>
  <c r="O34" i="1" s="1"/>
  <c r="P33" i="1"/>
  <c r="M33" i="1"/>
  <c r="L33" i="1"/>
  <c r="O33" i="1" s="1"/>
  <c r="P32" i="1"/>
  <c r="M32" i="1"/>
  <c r="L32" i="1"/>
  <c r="O32" i="1" s="1"/>
  <c r="P31" i="1"/>
  <c r="M31" i="1"/>
  <c r="L31" i="1"/>
  <c r="O31" i="1" s="1"/>
  <c r="P30" i="1"/>
  <c r="M30" i="1"/>
  <c r="L30" i="1"/>
  <c r="N30" i="1" s="1"/>
  <c r="P29" i="1"/>
  <c r="M29" i="1"/>
  <c r="L29" i="1"/>
  <c r="O29" i="1" s="1"/>
  <c r="P28" i="1"/>
  <c r="M28" i="1"/>
  <c r="L28" i="1"/>
  <c r="O28" i="1" s="1"/>
  <c r="P27" i="1"/>
  <c r="M27" i="1"/>
  <c r="L27" i="1"/>
  <c r="O27" i="1" s="1"/>
  <c r="P26" i="1"/>
  <c r="M26" i="1"/>
  <c r="L26" i="1"/>
  <c r="O26" i="1" s="1"/>
  <c r="P25" i="1"/>
  <c r="M25" i="1"/>
  <c r="L25" i="1"/>
  <c r="O25" i="1" s="1"/>
  <c r="P24" i="1"/>
  <c r="M24" i="1"/>
  <c r="L24" i="1"/>
  <c r="O24" i="1" s="1"/>
  <c r="P23" i="1"/>
  <c r="M23" i="1"/>
  <c r="L23" i="1"/>
  <c r="O23" i="1" s="1"/>
  <c r="P22" i="1"/>
  <c r="M22" i="1"/>
  <c r="L22" i="1"/>
  <c r="O22" i="1" s="1"/>
  <c r="P21" i="1"/>
  <c r="M21" i="1"/>
  <c r="L21" i="1"/>
  <c r="O21" i="1" s="1"/>
  <c r="P20" i="1"/>
  <c r="M20" i="1"/>
  <c r="L20" i="1"/>
  <c r="O20" i="1" s="1"/>
  <c r="P19" i="1"/>
  <c r="M19" i="1"/>
  <c r="L19" i="1"/>
  <c r="N19" i="1" s="1"/>
  <c r="P18" i="1"/>
  <c r="M18" i="1"/>
  <c r="L18" i="1"/>
  <c r="O18" i="1" s="1"/>
  <c r="P17" i="1"/>
  <c r="M17" i="1"/>
  <c r="L17" i="1"/>
  <c r="O17" i="1" s="1"/>
  <c r="P16" i="1"/>
  <c r="M16" i="1"/>
  <c r="L16" i="1"/>
  <c r="N16" i="1" s="1"/>
  <c r="P15" i="1"/>
  <c r="M15" i="1"/>
  <c r="L15" i="1"/>
  <c r="O15" i="1" s="1"/>
  <c r="P14" i="1"/>
  <c r="M14" i="1"/>
  <c r="L14" i="1"/>
  <c r="O14" i="1" s="1"/>
  <c r="P13" i="1"/>
  <c r="M13" i="1"/>
  <c r="L13" i="1"/>
  <c r="O13" i="1" s="1"/>
  <c r="P12" i="1"/>
  <c r="M12" i="1"/>
  <c r="L12" i="1"/>
  <c r="O12" i="1" s="1"/>
  <c r="P11" i="1"/>
  <c r="M11" i="1"/>
  <c r="L11" i="1"/>
  <c r="O11" i="1" s="1"/>
  <c r="P10" i="1"/>
  <c r="M10" i="1"/>
  <c r="L10" i="1"/>
  <c r="N10" i="1" s="1"/>
  <c r="P9" i="1"/>
  <c r="M9" i="1"/>
  <c r="L9" i="1"/>
  <c r="N9" i="1" s="1"/>
  <c r="P8" i="1"/>
  <c r="M8" i="1"/>
  <c r="L8" i="1"/>
  <c r="N8" i="1" s="1"/>
  <c r="P7" i="1"/>
  <c r="M7" i="1"/>
  <c r="L7" i="1"/>
  <c r="N7" i="1" s="1"/>
  <c r="P6" i="1"/>
  <c r="M6" i="1"/>
  <c r="L6" i="1"/>
  <c r="N6" i="1" s="1"/>
  <c r="P5" i="1"/>
  <c r="M5" i="1"/>
  <c r="L5" i="1"/>
  <c r="O5" i="1" s="1"/>
  <c r="P4" i="1"/>
  <c r="M4" i="1"/>
  <c r="L4" i="1"/>
  <c r="O4" i="1" s="1"/>
  <c r="P3" i="1"/>
  <c r="M3" i="1"/>
  <c r="L3" i="1"/>
  <c r="N3" i="1" s="1"/>
  <c r="P2" i="1"/>
  <c r="M2" i="1"/>
  <c r="L2" i="1"/>
  <c r="O2" i="1" s="1"/>
  <c r="N24" i="6" l="1"/>
  <c r="N5" i="6"/>
  <c r="N18" i="6"/>
  <c r="N34" i="6"/>
  <c r="O15" i="6"/>
  <c r="N28" i="6"/>
  <c r="N25" i="6"/>
  <c r="N19" i="6"/>
  <c r="N35" i="6"/>
  <c r="N16" i="6"/>
  <c r="N32" i="6"/>
  <c r="N13" i="6"/>
  <c r="N29" i="6"/>
  <c r="N8" i="6"/>
  <c r="N21" i="6"/>
  <c r="N37" i="6"/>
  <c r="N31" i="6"/>
  <c r="N12" i="6"/>
  <c r="N9" i="6"/>
  <c r="N6" i="6"/>
  <c r="N22" i="6"/>
  <c r="N38" i="6"/>
  <c r="N10" i="6"/>
  <c r="N26" i="6"/>
  <c r="N7" i="6"/>
  <c r="N23" i="6"/>
  <c r="N39" i="6"/>
  <c r="N20" i="6"/>
  <c r="N36" i="6"/>
  <c r="N32" i="1"/>
  <c r="O3" i="1"/>
  <c r="O10" i="1"/>
  <c r="N23" i="1"/>
  <c r="N4" i="1"/>
  <c r="O19" i="1"/>
  <c r="N33" i="1"/>
  <c r="O6" i="1"/>
  <c r="N20" i="1"/>
  <c r="O7" i="1"/>
  <c r="O8" i="1"/>
  <c r="N21" i="1"/>
  <c r="N5" i="1"/>
  <c r="N18" i="1"/>
  <c r="N2" i="1"/>
  <c r="O9" i="1"/>
  <c r="N31" i="1"/>
  <c r="N22" i="1"/>
  <c r="O30" i="1"/>
  <c r="N17" i="1"/>
  <c r="N14" i="1"/>
  <c r="N11" i="1"/>
  <c r="N27" i="1"/>
  <c r="N24" i="1"/>
  <c r="N34" i="1"/>
  <c r="N15" i="1"/>
  <c r="N12" i="1"/>
  <c r="N28" i="1"/>
  <c r="N25" i="1"/>
  <c r="N35" i="1"/>
  <c r="N13" i="1"/>
  <c r="O16" i="1"/>
  <c r="N29" i="1"/>
  <c r="N26" i="1"/>
  <c r="N36" i="1"/>
</calcChain>
</file>

<file path=xl/sharedStrings.xml><?xml version="1.0" encoding="utf-8"?>
<sst xmlns="http://schemas.openxmlformats.org/spreadsheetml/2006/main" count="1305" uniqueCount="140">
  <si>
    <t>Full_Name</t>
  </si>
  <si>
    <t>Age</t>
  </si>
  <si>
    <t>Gender</t>
  </si>
  <si>
    <t>Membership_Type</t>
  </si>
  <si>
    <t>Start_Date</t>
  </si>
  <si>
    <t>End_Date</t>
  </si>
  <si>
    <t>Monthly_Fee</t>
  </si>
  <si>
    <t>Attendance</t>
  </si>
  <si>
    <t>City</t>
  </si>
  <si>
    <t>Referred_By</t>
  </si>
  <si>
    <t>M001</t>
  </si>
  <si>
    <t>Anay Shanker</t>
  </si>
  <si>
    <t>Male</t>
  </si>
  <si>
    <t>Basic</t>
  </si>
  <si>
    <t>Bengaluru</t>
  </si>
  <si>
    <t>Hiran Shan</t>
  </si>
  <si>
    <t>M002</t>
  </si>
  <si>
    <t>Parinaaz Shanker</t>
  </si>
  <si>
    <t>Pune</t>
  </si>
  <si>
    <t>Kiara Kakar</t>
  </si>
  <si>
    <t>M003</t>
  </si>
  <si>
    <t>Aniruddh Batra</t>
  </si>
  <si>
    <t>Standard</t>
  </si>
  <si>
    <t>Hyderabad</t>
  </si>
  <si>
    <t>Jhanvi Chaudhary</t>
  </si>
  <si>
    <t>M004</t>
  </si>
  <si>
    <t>Madhup Kapur</t>
  </si>
  <si>
    <t>Female</t>
  </si>
  <si>
    <t>Tara Swaminathan</t>
  </si>
  <si>
    <t>M005</t>
  </si>
  <si>
    <t>Rasha Kakar</t>
  </si>
  <si>
    <t>Family</t>
  </si>
  <si>
    <t>Madhav Singh</t>
  </si>
  <si>
    <t>M006</t>
  </si>
  <si>
    <t>Ehsaan Batra</t>
  </si>
  <si>
    <t>Mumbai</t>
  </si>
  <si>
    <t>Shray Ramakrishnan</t>
  </si>
  <si>
    <t>M007</t>
  </si>
  <si>
    <t>Zara Bains</t>
  </si>
  <si>
    <t>M008</t>
  </si>
  <si>
    <t>Uthkarsh Baral</t>
  </si>
  <si>
    <t>Premium</t>
  </si>
  <si>
    <t>Kolkata</t>
  </si>
  <si>
    <t>M009</t>
  </si>
  <si>
    <t>Kashvi Char</t>
  </si>
  <si>
    <t>Nitara Comar</t>
  </si>
  <si>
    <t>M010</t>
  </si>
  <si>
    <t>Dhanush Varma</t>
  </si>
  <si>
    <t>Ranbir Karan</t>
  </si>
  <si>
    <t>M011</t>
  </si>
  <si>
    <t>Ishaan Goyal</t>
  </si>
  <si>
    <t>Rati Sanghvi</t>
  </si>
  <si>
    <t>M012</t>
  </si>
  <si>
    <t>Mahika Ravi</t>
  </si>
  <si>
    <t>Ishaan Kashyap</t>
  </si>
  <si>
    <t>M013</t>
  </si>
  <si>
    <t>Purab Reddy</t>
  </si>
  <si>
    <t>M014</t>
  </si>
  <si>
    <t>Tiya Soni</t>
  </si>
  <si>
    <t>M015</t>
  </si>
  <si>
    <t>Zara Dugar</t>
  </si>
  <si>
    <t>M016</t>
  </si>
  <si>
    <t>Lakshit Mander</t>
  </si>
  <si>
    <t>M017</t>
  </si>
  <si>
    <t>Neysa Krish</t>
  </si>
  <si>
    <t>M018</t>
  </si>
  <si>
    <t>Prerak Boase</t>
  </si>
  <si>
    <t>Delhi</t>
  </si>
  <si>
    <t>M019</t>
  </si>
  <si>
    <t>Siya Master</t>
  </si>
  <si>
    <t>M020</t>
  </si>
  <si>
    <t>Madhup Biswas</t>
  </si>
  <si>
    <t>Tanya Bajwa</t>
  </si>
  <si>
    <t>M021</t>
  </si>
  <si>
    <t>Indrans Ratti</t>
  </si>
  <si>
    <t>M022</t>
  </si>
  <si>
    <t>Kimaya Balay</t>
  </si>
  <si>
    <t>M023</t>
  </si>
  <si>
    <t>Eva Dass</t>
  </si>
  <si>
    <t>M024</t>
  </si>
  <si>
    <t>Pihu Wali</t>
  </si>
  <si>
    <t>M025</t>
  </si>
  <si>
    <t>Tiya Rege</t>
  </si>
  <si>
    <t>Adira Brar</t>
  </si>
  <si>
    <t>M026</t>
  </si>
  <si>
    <t>Aarav Sen</t>
  </si>
  <si>
    <t>M027</t>
  </si>
  <si>
    <t>Dishani Bera</t>
  </si>
  <si>
    <t>M028</t>
  </si>
  <si>
    <t>Indrans Grover</t>
  </si>
  <si>
    <t>M029</t>
  </si>
  <si>
    <t>Kismat Edwin</t>
  </si>
  <si>
    <t>M030</t>
  </si>
  <si>
    <t>Taran Vyas</t>
  </si>
  <si>
    <t>Nakul Balakrishnan</t>
  </si>
  <si>
    <t>M031</t>
  </si>
  <si>
    <t>Jiya Baral</t>
  </si>
  <si>
    <t>Darshit Sidhu</t>
  </si>
  <si>
    <t>M032</t>
  </si>
  <si>
    <t>Gokul Sahni</t>
  </si>
  <si>
    <t>M033</t>
  </si>
  <si>
    <t>Prerak Lalla</t>
  </si>
  <si>
    <t>M034</t>
  </si>
  <si>
    <t>Hrishita Shroff</t>
  </si>
  <si>
    <t>Riya Dugal</t>
  </si>
  <si>
    <t>M035</t>
  </si>
  <si>
    <t>Oorja Sachar</t>
  </si>
  <si>
    <t>S.No.</t>
  </si>
  <si>
    <t>Referred</t>
  </si>
  <si>
    <t>Row Labels</t>
  </si>
  <si>
    <t>No</t>
  </si>
  <si>
    <t>Yes</t>
  </si>
  <si>
    <t>Grand Total</t>
  </si>
  <si>
    <t>Average of Monthly_Fee</t>
  </si>
  <si>
    <t>Total_Revenue</t>
  </si>
  <si>
    <t>Membership_Duration_M</t>
  </si>
  <si>
    <t>Sum of Total_Revenue</t>
  </si>
  <si>
    <t>Column Labels</t>
  </si>
  <si>
    <t>Low_Engagement_Flag</t>
  </si>
  <si>
    <t>Average of Total_Revenue</t>
  </si>
  <si>
    <t>Age_Group</t>
  </si>
  <si>
    <t>Count of Full_Name</t>
  </si>
  <si>
    <t>Adult</t>
  </si>
  <si>
    <t>Senior</t>
  </si>
  <si>
    <t>Youth</t>
  </si>
  <si>
    <t>Membership_Duration_Months</t>
  </si>
  <si>
    <t xml:space="preserve">*Note: This is the original table loaded from the dataset provided in the assignment question pdf. The answers of all the questions are done below* </t>
  </si>
  <si>
    <t>Question1- Membership Duration in Months</t>
  </si>
  <si>
    <t>Question2- Membership Duration in Months</t>
  </si>
  <si>
    <r>
      <rPr>
        <sz val="12"/>
        <color theme="1"/>
        <rFont val="Calibri"/>
        <family val="2"/>
        <scheme val="minor"/>
      </rPr>
      <t xml:space="preserve">Pivot Table to compare </t>
    </r>
    <r>
      <rPr>
        <b/>
        <sz val="12"/>
        <color theme="1"/>
        <rFont val="Calibri"/>
        <family val="2"/>
        <scheme val="minor"/>
      </rPr>
      <t>average Monthly_Fee</t>
    </r>
    <r>
      <rPr>
        <sz val="12"/>
        <color theme="1"/>
        <rFont val="Calibri"/>
        <family val="2"/>
        <scheme val="minor"/>
      </rPr>
      <t xml:space="preserve"> for </t>
    </r>
    <r>
      <rPr>
        <b/>
        <sz val="12"/>
        <color theme="1"/>
        <rFont val="Calibri"/>
        <family val="2"/>
        <scheme val="minor"/>
      </rPr>
      <t>referred</t>
    </r>
    <r>
      <rPr>
        <sz val="12"/>
        <color theme="1"/>
        <rFont val="Calibri"/>
        <family val="2"/>
        <scheme val="minor"/>
      </rPr>
      <t xml:space="preserve"> vs. </t>
    </r>
    <r>
      <rPr>
        <b/>
        <sz val="12"/>
        <color theme="1"/>
        <rFont val="Calibri"/>
        <family val="2"/>
        <scheme val="minor"/>
      </rPr>
      <t>non-referred members.</t>
    </r>
  </si>
  <si>
    <t>Question3- Revenue Calculation</t>
  </si>
  <si>
    <t>Shows total revenue for each membership plan.</t>
  </si>
  <si>
    <t>Displays total revenue for each city.</t>
  </si>
  <si>
    <t>Question4- Identify Low Engagement Members</t>
  </si>
  <si>
    <r>
      <t xml:space="preserve">identified long-term but inactive members by 
highlighting those with </t>
    </r>
    <r>
      <rPr>
        <b/>
        <sz val="12"/>
        <color theme="1"/>
        <rFont val="Calibri"/>
        <family val="2"/>
        <scheme val="minor"/>
      </rPr>
      <t xml:space="preserve">attendance less than 
8 </t>
    </r>
    <r>
      <rPr>
        <sz val="12"/>
        <color theme="1"/>
        <rFont val="Calibri"/>
        <family val="2"/>
        <scheme val="minor"/>
      </rPr>
      <t xml:space="preserve">and </t>
    </r>
    <r>
      <rPr>
        <b/>
        <sz val="12"/>
        <color theme="1"/>
        <rFont val="Calibri"/>
        <family val="2"/>
        <scheme val="minor"/>
      </rPr>
      <t xml:space="preserve">membership duration of 6 months or more. </t>
    </r>
    <r>
      <rPr>
        <sz val="12"/>
        <color theme="1"/>
        <rFont val="Calibri"/>
        <family val="2"/>
        <scheme val="minor"/>
      </rPr>
      <t xml:space="preserve">
You used a formula to flag such members as </t>
    </r>
    <r>
      <rPr>
        <b/>
        <sz val="12"/>
        <color theme="1"/>
        <rFont val="Calibri"/>
        <family val="2"/>
        <scheme val="minor"/>
      </rPr>
      <t xml:space="preserve">"Low Engagement" </t>
    </r>
    <r>
      <rPr>
        <sz val="12"/>
        <color theme="1"/>
        <rFont val="Calibri"/>
        <family val="2"/>
        <scheme val="minor"/>
      </rPr>
      <t xml:space="preserve">
using conditional logic.</t>
    </r>
  </si>
  <si>
    <t>Question5- Segment Profitability Dashboard</t>
  </si>
  <si>
    <r>
      <rPr>
        <b/>
        <sz val="11"/>
        <color theme="1"/>
        <rFont val="Cavolini"/>
        <family val="4"/>
      </rPr>
      <t xml:space="preserve">Most Profitable City + Membership Type + Referral Combinations: 
</t>
    </r>
    <r>
      <rPr>
        <sz val="11"/>
        <color theme="1"/>
        <rFont val="Cavolini"/>
        <family val="4"/>
      </rPr>
      <t>The highest revenue-generating combination is classified as the 
Premium Membership Referred Members combination in Mumbai, with 
Kolkata being another possible contender in the Premium Market, 
though it lacks the required referral base to match the performance of Mumbai.</t>
    </r>
    <r>
      <rPr>
        <b/>
        <sz val="11"/>
        <color theme="1"/>
        <rFont val="Cavolini"/>
        <family val="4"/>
      </rPr>
      <t xml:space="preserve">
Average Revenue per Member:
</t>
    </r>
    <r>
      <rPr>
        <sz val="11"/>
        <color theme="1"/>
        <rFont val="Cavolini"/>
        <family val="4"/>
      </rPr>
      <t>The Premium Membership segment earns the highest average revenue 
per member in Mumbai (₹1,800) and shows good potential in Kolkata, 
while the cities with Basic Membership and Non-referred Members, 
such as Delhi and Pune, have a very low average revenue.</t>
    </r>
    <r>
      <rPr>
        <b/>
        <sz val="11"/>
        <color theme="1"/>
        <rFont val="Cavolini"/>
        <family val="4"/>
      </rPr>
      <t xml:space="preserve">
Area of Interest for Marketing or Referral Programs:
</t>
    </r>
    <r>
      <rPr>
        <sz val="11"/>
        <color theme="1"/>
        <rFont val="Cavolini"/>
        <family val="4"/>
      </rPr>
      <t>PowerFit has to increase referrals in Mumbai for Premium Membership 
since it is the most profitable combination. The other cities 
strategically positioned in referral marketing efforts should be 
Kolkata, Bengaluru, and Hyderabad to increase engagement and profitability, 
especially in the Premium Membership segments. Cities that are more 
subdued in engagement, such as Delhi, would thereby be the gateway for referrals.</t>
    </r>
  </si>
  <si>
    <t>Question6- Segment Profitability Dashboard</t>
  </si>
  <si>
    <t>Gender-wise Count of Members per City</t>
  </si>
  <si>
    <t>Age Distribution across Membership 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</si>
</sst>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
  </numFmts>
  <fonts count="15"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ont>
    <font>
      <sz val="11"/>
      <color theme="1"/>
      <name val="Calibri"/>
      <scheme val="minor"/>
    </font>
    <font>
      <sz val="11"/>
      <color theme="1"/>
      <name val="Calibri"/>
    </font>
    <font>
      <b/>
      <sz val="11"/>
      <color theme="1"/>
      <name val="Calibri"/>
      <family val="2"/>
    </font>
    <font>
      <b/>
      <sz val="11"/>
      <color theme="0"/>
      <name val="Calibri"/>
      <family val="2"/>
      <scheme val="minor"/>
    </font>
    <font>
      <b/>
      <sz val="11"/>
      <color theme="0"/>
      <name val="Calibri"/>
    </font>
    <font>
      <sz val="20"/>
      <color theme="1"/>
      <name val="Calibri"/>
      <family val="2"/>
      <scheme val="minor"/>
    </font>
    <font>
      <sz val="14"/>
      <color theme="1"/>
      <name val="Calibri"/>
      <family val="2"/>
      <scheme val="minor"/>
    </font>
    <font>
      <sz val="12"/>
      <color theme="1"/>
      <name val="Calibri"/>
      <family val="2"/>
      <scheme val="minor"/>
    </font>
    <font>
      <b/>
      <sz val="12"/>
      <color theme="1"/>
      <name val="Calibri"/>
      <family val="2"/>
      <scheme val="minor"/>
    </font>
    <font>
      <sz val="11"/>
      <color theme="1"/>
      <name val="Cavolini"/>
      <family val="4"/>
    </font>
    <font>
      <b/>
      <sz val="11"/>
      <color theme="1"/>
      <name val="Cavolini"/>
      <family val="4"/>
    </font>
  </fonts>
  <fills count="7">
    <fill>
      <patternFill patternType="none"/>
    </fill>
    <fill>
      <patternFill patternType="gray125"/>
    </fill>
    <fill>
      <patternFill patternType="solid">
        <fgColor rgb="FFFFC00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7" tint="0.39997558519241921"/>
        <bgColor indexed="64"/>
      </patternFill>
    </fill>
  </fills>
  <borders count="7">
    <border>
      <left/>
      <right/>
      <top/>
      <bottom/>
      <diagonal/>
    </border>
    <border>
      <left style="thin">
        <color rgb="FF000000"/>
      </left>
      <right style="thin">
        <color rgb="FF000000"/>
      </right>
      <top/>
      <bottom style="thin">
        <color rgb="FF000000"/>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s>
  <cellStyleXfs count="3">
    <xf numFmtId="0" fontId="0" fillId="0" borderId="0"/>
    <xf numFmtId="0" fontId="2" fillId="0" borderId="0"/>
    <xf numFmtId="0" fontId="1" fillId="0" borderId="0"/>
  </cellStyleXfs>
  <cellXfs count="96">
    <xf numFmtId="0" fontId="0" fillId="0" borderId="0" xfId="0"/>
    <xf numFmtId="0" fontId="4" fillId="0" borderId="0" xfId="0" applyFont="1"/>
    <xf numFmtId="164" fontId="5" fillId="0" borderId="0" xfId="0" applyNumberFormat="1" applyFont="1"/>
    <xf numFmtId="0" fontId="0" fillId="0" borderId="0" xfId="0" applyAlignment="1">
      <alignment horizontal="center" vertical="center"/>
    </xf>
    <xf numFmtId="0" fontId="0" fillId="0" borderId="0" xfId="0" pivotButton="1"/>
    <xf numFmtId="0" fontId="0" fillId="0" borderId="0" xfId="0" applyAlignment="1">
      <alignment horizontal="left"/>
    </xf>
    <xf numFmtId="165" fontId="0" fillId="0" borderId="0" xfId="0" applyNumberFormat="1"/>
    <xf numFmtId="2" fontId="0" fillId="0" borderId="0" xfId="0" applyNumberFormat="1"/>
    <xf numFmtId="0" fontId="3" fillId="0" borderId="1" xfId="0" applyFont="1" applyBorder="1" applyAlignment="1">
      <alignment horizontal="left" vertical="center"/>
    </xf>
    <xf numFmtId="0" fontId="0" fillId="0" borderId="0" xfId="0" applyAlignment="1">
      <alignment horizontal="left" indent="1"/>
    </xf>
    <xf numFmtId="0" fontId="0" fillId="0" borderId="0" xfId="0" applyAlignment="1">
      <alignment horizontal="left" indent="2"/>
    </xf>
    <xf numFmtId="0" fontId="3" fillId="0" borderId="1" xfId="0" applyFont="1" applyBorder="1" applyAlignment="1">
      <alignment horizontal="left" vertical="top"/>
    </xf>
    <xf numFmtId="0" fontId="3" fillId="0" borderId="1" xfId="1" applyFont="1" applyBorder="1" applyAlignment="1">
      <alignment horizontal="left" vertical="top"/>
    </xf>
    <xf numFmtId="0" fontId="4" fillId="2" borderId="0" xfId="0" applyFont="1" applyFill="1"/>
    <xf numFmtId="164" fontId="5" fillId="2" borderId="0" xfId="0" applyNumberFormat="1" applyFont="1" applyFill="1"/>
    <xf numFmtId="0" fontId="0" fillId="2" borderId="0" xfId="0" applyFill="1" applyAlignment="1">
      <alignment horizontal="center" vertical="center"/>
    </xf>
    <xf numFmtId="0" fontId="0" fillId="2" borderId="0" xfId="0" applyFill="1"/>
    <xf numFmtId="0" fontId="3" fillId="0" borderId="0" xfId="1" applyFont="1" applyAlignment="1">
      <alignment horizontal="left" vertical="top"/>
    </xf>
    <xf numFmtId="0" fontId="2" fillId="0" borderId="0" xfId="0" applyFont="1"/>
    <xf numFmtId="0" fontId="6" fillId="0" borderId="1" xfId="1" applyFont="1" applyBorder="1" applyAlignment="1">
      <alignment horizontal="left" vertical="top"/>
    </xf>
    <xf numFmtId="0" fontId="0" fillId="4" borderId="2" xfId="0" applyFont="1" applyFill="1" applyBorder="1"/>
    <xf numFmtId="0" fontId="0" fillId="4" borderId="3" xfId="0" applyFont="1" applyFill="1" applyBorder="1"/>
    <xf numFmtId="0" fontId="0" fillId="0" borderId="2" xfId="0" applyFont="1" applyBorder="1"/>
    <xf numFmtId="0" fontId="0" fillId="0" borderId="3" xfId="0" applyFont="1" applyBorder="1"/>
    <xf numFmtId="0" fontId="1" fillId="0" borderId="0" xfId="2"/>
    <xf numFmtId="0" fontId="1" fillId="5" borderId="0" xfId="2" applyFill="1"/>
    <xf numFmtId="0" fontId="1" fillId="5" borderId="0" xfId="2" applyFill="1" applyAlignment="1">
      <alignment vertical="center"/>
    </xf>
    <xf numFmtId="0" fontId="9" fillId="5" borderId="0" xfId="2" applyFont="1" applyFill="1" applyAlignment="1">
      <alignment vertical="center"/>
    </xf>
    <xf numFmtId="0" fontId="3" fillId="0" borderId="1" xfId="0" applyFont="1" applyBorder="1" applyAlignment="1">
      <alignment horizontal="center" vertical="top"/>
    </xf>
    <xf numFmtId="0" fontId="4" fillId="0" borderId="0" xfId="0" applyFont="1" applyAlignment="1">
      <alignment horizontal="center"/>
    </xf>
    <xf numFmtId="0" fontId="4" fillId="2" borderId="0" xfId="0" applyFont="1" applyFill="1" applyAlignment="1">
      <alignment horizontal="center"/>
    </xf>
    <xf numFmtId="164" fontId="5" fillId="0" borderId="0" xfId="0" applyNumberFormat="1" applyFont="1" applyAlignment="1">
      <alignment horizontal="center"/>
    </xf>
    <xf numFmtId="164" fontId="5" fillId="2" borderId="0" xfId="0" applyNumberFormat="1" applyFont="1" applyFill="1" applyAlignment="1">
      <alignment horizontal="center"/>
    </xf>
    <xf numFmtId="0" fontId="1" fillId="0" borderId="0" xfId="2"/>
    <xf numFmtId="0" fontId="1" fillId="0" borderId="0" xfId="2" applyAlignment="1">
      <alignment horizontal="center" vertical="center"/>
    </xf>
    <xf numFmtId="14" fontId="1" fillId="0" borderId="0" xfId="2" applyNumberFormat="1" applyAlignment="1">
      <alignment horizontal="center" vertical="center"/>
    </xf>
    <xf numFmtId="0" fontId="3" fillId="0" borderId="1" xfId="0" applyFont="1" applyBorder="1" applyAlignment="1">
      <alignment horizontal="center" vertical="center"/>
    </xf>
    <xf numFmtId="0" fontId="4" fillId="0" borderId="0" xfId="0" applyFont="1" applyAlignment="1">
      <alignment horizontal="center" vertical="center"/>
    </xf>
    <xf numFmtId="0" fontId="4" fillId="2" borderId="0" xfId="0" applyFont="1" applyFill="1" applyAlignment="1">
      <alignment horizontal="center" vertical="center"/>
    </xf>
    <xf numFmtId="164" fontId="5" fillId="0" borderId="0" xfId="0" applyNumberFormat="1" applyFont="1" applyAlignment="1">
      <alignment horizontal="center" vertical="center"/>
    </xf>
    <xf numFmtId="164" fontId="5" fillId="2" borderId="0" xfId="0" applyNumberFormat="1" applyFont="1" applyFill="1" applyAlignment="1">
      <alignment horizontal="center" vertical="center"/>
    </xf>
    <xf numFmtId="0" fontId="1" fillId="0" borderId="0" xfId="2"/>
    <xf numFmtId="0" fontId="1" fillId="5" borderId="0" xfId="2" applyFill="1"/>
    <xf numFmtId="0" fontId="1" fillId="0" borderId="0" xfId="2" applyAlignment="1">
      <alignment horizontal="center" vertical="center"/>
    </xf>
    <xf numFmtId="0" fontId="9" fillId="5" borderId="0" xfId="2" applyFont="1" applyFill="1"/>
    <xf numFmtId="0" fontId="11" fillId="5" borderId="0" xfId="2" applyFont="1" applyFill="1" applyAlignment="1">
      <alignment horizontal="center" vertical="center"/>
    </xf>
    <xf numFmtId="0" fontId="1" fillId="5" borderId="0" xfId="2" applyFill="1" applyAlignment="1">
      <alignment horizontal="center" vertical="center"/>
    </xf>
    <xf numFmtId="0" fontId="1" fillId="5" borderId="0" xfId="2" applyFill="1"/>
    <xf numFmtId="0" fontId="9" fillId="5" borderId="0" xfId="2" applyFont="1" applyFill="1"/>
    <xf numFmtId="0" fontId="7" fillId="3" borderId="3" xfId="2" applyFont="1" applyFill="1" applyBorder="1"/>
    <xf numFmtId="0" fontId="7" fillId="3" borderId="4" xfId="2" applyFont="1" applyFill="1" applyBorder="1"/>
    <xf numFmtId="0" fontId="1" fillId="4" borderId="3" xfId="2" applyFill="1" applyBorder="1"/>
    <xf numFmtId="0" fontId="1" fillId="0" borderId="3" xfId="2" applyBorder="1"/>
    <xf numFmtId="0" fontId="1" fillId="4" borderId="4" xfId="2" applyFill="1" applyBorder="1"/>
    <xf numFmtId="0" fontId="1" fillId="0" borderId="4" xfId="2" applyBorder="1"/>
    <xf numFmtId="0" fontId="7" fillId="3" borderId="3" xfId="2" applyFont="1" applyFill="1" applyBorder="1" applyAlignment="1">
      <alignment horizontal="center"/>
    </xf>
    <xf numFmtId="0" fontId="1" fillId="4" borderId="3" xfId="2" applyFill="1" applyBorder="1" applyAlignment="1">
      <alignment horizontal="center"/>
    </xf>
    <xf numFmtId="0" fontId="1" fillId="0" borderId="3" xfId="2" applyBorder="1" applyAlignment="1">
      <alignment horizontal="center"/>
    </xf>
    <xf numFmtId="14" fontId="7" fillId="3" borderId="3" xfId="2" applyNumberFormat="1" applyFont="1" applyFill="1" applyBorder="1" applyAlignment="1">
      <alignment horizontal="center"/>
    </xf>
    <xf numFmtId="14" fontId="1" fillId="4" borderId="3" xfId="2" applyNumberFormat="1" applyFill="1" applyBorder="1" applyAlignment="1">
      <alignment horizontal="center"/>
    </xf>
    <xf numFmtId="14" fontId="1" fillId="0" borderId="3" xfId="2" applyNumberFormat="1" applyBorder="1" applyAlignment="1">
      <alignment horizontal="center"/>
    </xf>
    <xf numFmtId="0" fontId="1" fillId="5" borderId="0" xfId="2" applyFill="1"/>
    <xf numFmtId="0" fontId="9" fillId="5" borderId="0" xfId="2" applyFont="1" applyFill="1"/>
    <xf numFmtId="0" fontId="0" fillId="4" borderId="3" xfId="0" applyFont="1" applyFill="1" applyBorder="1" applyAlignment="1">
      <alignment horizontal="center" vertical="center"/>
    </xf>
    <xf numFmtId="164" fontId="5" fillId="4" borderId="3" xfId="0" applyNumberFormat="1" applyFont="1" applyFill="1" applyBorder="1" applyAlignment="1">
      <alignment horizontal="center" vertical="center"/>
    </xf>
    <xf numFmtId="164" fontId="5" fillId="4" borderId="3" xfId="0" applyNumberFormat="1" applyFont="1" applyFill="1" applyBorder="1" applyAlignment="1">
      <alignment horizontal="center"/>
    </xf>
    <xf numFmtId="0" fontId="0" fillId="4" borderId="3" xfId="0" applyFont="1" applyFill="1" applyBorder="1" applyAlignment="1">
      <alignment horizontal="center"/>
    </xf>
    <xf numFmtId="0" fontId="0" fillId="0" borderId="3" xfId="0" applyFont="1" applyBorder="1" applyAlignment="1">
      <alignment horizontal="center" vertical="center"/>
    </xf>
    <xf numFmtId="164" fontId="5" fillId="0" borderId="3" xfId="0" applyNumberFormat="1" applyFont="1" applyBorder="1" applyAlignment="1">
      <alignment horizontal="center" vertical="center"/>
    </xf>
    <xf numFmtId="164" fontId="5" fillId="0" borderId="3" xfId="0" applyNumberFormat="1" applyFont="1" applyBorder="1" applyAlignment="1">
      <alignment horizontal="center"/>
    </xf>
    <xf numFmtId="0" fontId="0" fillId="0" borderId="3" xfId="0" applyFont="1" applyBorder="1" applyAlignment="1">
      <alignment horizontal="center"/>
    </xf>
    <xf numFmtId="0" fontId="0" fillId="2" borderId="2" xfId="0" applyFont="1" applyFill="1" applyBorder="1"/>
    <xf numFmtId="0" fontId="0" fillId="2" borderId="3" xfId="0" applyFont="1" applyFill="1" applyBorder="1"/>
    <xf numFmtId="0" fontId="0" fillId="2" borderId="3" xfId="0" applyFont="1" applyFill="1" applyBorder="1" applyAlignment="1">
      <alignment horizontal="center" vertical="center"/>
    </xf>
    <xf numFmtId="164" fontId="5" fillId="2" borderId="3" xfId="0" applyNumberFormat="1" applyFont="1" applyFill="1" applyBorder="1" applyAlignment="1">
      <alignment horizontal="center" vertical="center"/>
    </xf>
    <xf numFmtId="164" fontId="5" fillId="2" borderId="3" xfId="0" applyNumberFormat="1" applyFont="1" applyFill="1" applyBorder="1" applyAlignment="1">
      <alignment horizontal="center"/>
    </xf>
    <xf numFmtId="0" fontId="0" fillId="2" borderId="3" xfId="0" applyFont="1" applyFill="1" applyBorder="1" applyAlignment="1">
      <alignment horizontal="center"/>
    </xf>
    <xf numFmtId="0" fontId="8" fillId="3" borderId="1" xfId="0" applyFont="1" applyFill="1" applyBorder="1" applyAlignment="1">
      <alignment horizontal="left" vertical="top"/>
    </xf>
    <xf numFmtId="0" fontId="8" fillId="3" borderId="1" xfId="0" applyFont="1" applyFill="1" applyBorder="1" applyAlignment="1">
      <alignment horizontal="center" vertical="center"/>
    </xf>
    <xf numFmtId="0" fontId="8" fillId="3" borderId="1" xfId="0" applyFont="1" applyFill="1" applyBorder="1" applyAlignment="1">
      <alignment horizontal="center" vertical="top"/>
    </xf>
    <xf numFmtId="0" fontId="8" fillId="3" borderId="1" xfId="0" applyFont="1" applyFill="1" applyBorder="1" applyAlignment="1">
      <alignment horizontal="left" vertical="center"/>
    </xf>
    <xf numFmtId="0" fontId="8" fillId="3" borderId="1" xfId="1" applyNumberFormat="1" applyFont="1" applyFill="1" applyBorder="1" applyAlignment="1">
      <alignment horizontal="left" vertical="top"/>
    </xf>
    <xf numFmtId="0" fontId="0" fillId="4" borderId="6" xfId="0" applyFont="1" applyFill="1" applyBorder="1"/>
    <xf numFmtId="0" fontId="0" fillId="4" borderId="5" xfId="0" applyFont="1" applyFill="1" applyBorder="1"/>
    <xf numFmtId="0" fontId="0" fillId="4" borderId="5" xfId="0"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5" xfId="0" applyNumberFormat="1" applyFont="1" applyFill="1" applyBorder="1" applyAlignment="1">
      <alignment horizontal="center"/>
    </xf>
    <xf numFmtId="0" fontId="0" fillId="4" borderId="5" xfId="0" applyFont="1" applyFill="1" applyBorder="1" applyAlignment="1">
      <alignment horizontal="center"/>
    </xf>
    <xf numFmtId="0" fontId="11" fillId="5" borderId="0" xfId="2" applyFont="1" applyFill="1" applyAlignment="1">
      <alignment horizontal="center" vertical="center" wrapText="1"/>
    </xf>
    <xf numFmtId="0" fontId="0" fillId="0" borderId="0" xfId="0" applyNumberFormat="1"/>
    <xf numFmtId="0" fontId="1" fillId="5" borderId="0" xfId="2" applyFill="1"/>
    <xf numFmtId="0" fontId="9" fillId="5" borderId="0" xfId="2" applyFont="1" applyFill="1"/>
    <xf numFmtId="0" fontId="13" fillId="6" borderId="0" xfId="2" applyFont="1" applyFill="1" applyAlignment="1">
      <alignment horizontal="center" vertical="center" wrapText="1"/>
    </xf>
    <xf numFmtId="0" fontId="1" fillId="5" borderId="0" xfId="2" applyFill="1"/>
    <xf numFmtId="0" fontId="9" fillId="5" borderId="0" xfId="2" applyFont="1" applyFill="1"/>
    <xf numFmtId="0" fontId="10" fillId="5" borderId="0" xfId="2" applyFont="1" applyFill="1" applyAlignment="1">
      <alignment horizontal="center" vertical="center"/>
    </xf>
  </cellXfs>
  <cellStyles count="3">
    <cellStyle name="Normal" xfId="0" builtinId="0"/>
    <cellStyle name="Normal 2" xfId="1" xr:uid="{47706744-5914-487A-9C45-73DA086C0D00}"/>
    <cellStyle name="Normal 3" xfId="2" xr:uid="{1F43955F-52BC-499B-AC1A-B335C5B998D0}"/>
  </cellStyles>
  <dxfs count="88">
    <dxf>
      <font>
        <b val="0"/>
        <i val="0"/>
        <strike val="0"/>
        <condense val="0"/>
        <extend val="0"/>
        <outline val="0"/>
        <shadow val="0"/>
        <u val="none"/>
        <vertAlign val="baseline"/>
        <sz val="11"/>
        <color theme="1"/>
        <name val="Calibri"/>
        <scheme val="minor"/>
      </font>
      <alignment horizont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yyyy\-mm\-dd"/>
      <alignment horizont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64" formatCode="yyyy\-mm\-dd"/>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border outline="0">
        <bottom style="thin">
          <color rgb="FF000000"/>
        </bottom>
      </border>
    </dxf>
    <dxf>
      <border outline="0">
        <top style="thin">
          <color rgb="FF000000"/>
        </top>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none"/>
      </font>
      <alignment horizontal="left" vertical="top"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i val="0"/>
        <strike val="0"/>
        <condense val="0"/>
        <extend val="0"/>
        <outline val="0"/>
        <shadow val="0"/>
        <u val="none"/>
        <vertAlign val="baseline"/>
        <sz val="11"/>
        <color theme="0"/>
        <name val="Calibri"/>
        <scheme val="none"/>
      </font>
      <fill>
        <patternFill patternType="solid">
          <fgColor theme="4"/>
          <bgColor theme="4"/>
        </patternFill>
      </fill>
      <alignment horizontal="left"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none"/>
      </font>
      <numFmt numFmtId="164" formatCode="yyyy\-mm\-dd"/>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none"/>
      </font>
      <numFmt numFmtId="164" formatCode="yyyy\-mm\-dd"/>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rgb="FF000000"/>
        </bottom>
      </border>
    </dxf>
    <dxf>
      <border outline="0">
        <top style="thin">
          <color rgb="FF000000"/>
        </top>
        <bottom style="thin">
          <color theme="4" tint="0.39997558519241921"/>
        </bottom>
      </border>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textRotation="0" wrapText="0" indent="0" justifyLastLine="0" shrinkToFit="0" readingOrder="0"/>
    </dxf>
    <dxf>
      <font>
        <b val="0"/>
        <i val="0"/>
        <strike val="0"/>
        <condense val="0"/>
        <extend val="0"/>
        <outline val="0"/>
        <shadow val="0"/>
        <u val="none"/>
        <vertAlign val="baseline"/>
        <sz val="11"/>
        <color theme="1"/>
        <name val="Calibri"/>
        <scheme val="minor"/>
      </font>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yyyy\-mm\-dd"/>
      <alignment horizont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yyyy\-mm\-dd"/>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dxf>
    <dxf>
      <border outline="0">
        <bottom style="thin">
          <color rgb="FF000000"/>
        </bottom>
      </border>
    </dxf>
    <dxf>
      <border outline="0">
        <top style="thin">
          <color rgb="FF000000"/>
        </top>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none"/>
      </font>
      <alignment horizontal="left" vertical="top" textRotation="0" wrapText="0" indent="0" justifyLastLine="0" shrinkToFit="0" readingOrder="0"/>
      <border diagonalUp="0" diagonalDown="0" outline="0">
        <left style="thin">
          <color rgb="FF000000"/>
        </left>
        <right style="thin">
          <color rgb="FF000000"/>
        </right>
        <top/>
        <bottom/>
      </border>
    </dxf>
    <dxf>
      <numFmt numFmtId="2" formatCode="0.00"/>
    </dxf>
    <dxf>
      <numFmt numFmtId="165" formatCode="0.000"/>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border outline="0">
        <bottom style="thin">
          <color rgb="FF000000"/>
        </bottom>
      </border>
    </dxf>
    <dxf>
      <border outline="0">
        <top style="thin">
          <color rgb="FF000000"/>
        </top>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none"/>
      </font>
      <alignment horizontal="left" vertical="top"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[Advanced_Fitness_Members_India(Assignment 3).xlsx]Q.5!PivotTable14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Q.5!$C$5</c:f>
              <c:strCache>
                <c:ptCount val="1"/>
                <c:pt idx="0">
                  <c:v>Total</c:v>
                </c:pt>
              </c:strCache>
            </c:strRef>
          </c:tx>
          <c:spPr>
            <a:solidFill>
              <a:schemeClr val="accent1"/>
            </a:solidFill>
            <a:ln>
              <a:noFill/>
            </a:ln>
            <a:effectLst/>
            <a:sp3d/>
          </c:spPr>
          <c:invertIfNegative val="0"/>
          <c:cat>
            <c:multiLvlStrRef>
              <c:f>Q.5!$B$6:$B$9</c:f>
              <c:multiLvlStrCache>
                <c:ptCount val="1"/>
                <c:lvl>
                  <c:pt idx="0">
                    <c:v>Yes</c:v>
                  </c:pt>
                </c:lvl>
                <c:lvl>
                  <c:pt idx="0">
                    <c:v>Standard</c:v>
                  </c:pt>
                </c:lvl>
                <c:lvl>
                  <c:pt idx="0">
                    <c:v>Hyderabad</c:v>
                  </c:pt>
                </c:lvl>
              </c:multiLvlStrCache>
            </c:multiLvlStrRef>
          </c:cat>
          <c:val>
            <c:numRef>
              <c:f>Q.5!$C$6:$C$9</c:f>
              <c:numCache>
                <c:formatCode>General</c:formatCode>
                <c:ptCount val="1"/>
                <c:pt idx="0">
                  <c:v>10800</c:v>
                </c:pt>
              </c:numCache>
            </c:numRef>
          </c:val>
          <c:extLst>
            <c:ext xmlns:c16="http://schemas.microsoft.com/office/drawing/2014/chart" uri="{C3380CC4-5D6E-409C-BE32-E72D297353CC}">
              <c16:uniqueId val="{00000000-D439-41C2-9B88-31A6C992BE3C}"/>
            </c:ext>
          </c:extLst>
        </c:ser>
        <c:dLbls>
          <c:showLegendKey val="0"/>
          <c:showVal val="0"/>
          <c:showCatName val="0"/>
          <c:showSerName val="0"/>
          <c:showPercent val="0"/>
          <c:showBubbleSize val="0"/>
        </c:dLbls>
        <c:gapWidth val="150"/>
        <c:shape val="box"/>
        <c:axId val="1917467823"/>
        <c:axId val="1917468783"/>
        <c:axId val="0"/>
      </c:bar3DChart>
      <c:catAx>
        <c:axId val="1917467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468783"/>
        <c:crosses val="autoZero"/>
        <c:auto val="1"/>
        <c:lblAlgn val="ctr"/>
        <c:lblOffset val="100"/>
        <c:noMultiLvlLbl val="0"/>
      </c:catAx>
      <c:valAx>
        <c:axId val="19174687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467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29094</xdr:colOff>
      <xdr:row>3</xdr:row>
      <xdr:rowOff>181296</xdr:rowOff>
    </xdr:from>
    <xdr:to>
      <xdr:col>8</xdr:col>
      <xdr:colOff>27709</xdr:colOff>
      <xdr:row>17</xdr:row>
      <xdr:rowOff>87951</xdr:rowOff>
    </xdr:to>
    <mc:AlternateContent xmlns:mc="http://schemas.openxmlformats.org/markup-compatibility/2006">
      <mc:Choice xmlns:a14="http://schemas.microsoft.com/office/drawing/2010/main" Requires="a14">
        <xdr:graphicFrame macro="">
          <xdr:nvGraphicFramePr>
            <xdr:cNvPr id="2" name="Membership_Type">
              <a:extLst>
                <a:ext uri="{FF2B5EF4-FFF2-40B4-BE49-F238E27FC236}">
                  <a16:creationId xmlns:a16="http://schemas.microsoft.com/office/drawing/2014/main" id="{65A93637-62AC-48C9-A556-ECD6696B06AB}"/>
                </a:ext>
              </a:extLst>
            </xdr:cNvPr>
            <xdr:cNvGraphicFramePr/>
          </xdr:nvGraphicFramePr>
          <xdr:xfrm>
            <a:off x="0" y="0"/>
            <a:ext cx="0" cy="0"/>
          </xdr:xfrm>
          <a:graphic>
            <a:graphicData uri="http://schemas.microsoft.com/office/drawing/2010/slicer">
              <sle:slicer xmlns:sle="http://schemas.microsoft.com/office/drawing/2010/slicer" name="Membership_Type"/>
            </a:graphicData>
          </a:graphic>
        </xdr:graphicFrame>
      </mc:Choice>
      <mc:Fallback>
        <xdr:sp macro="" textlink="">
          <xdr:nvSpPr>
            <xdr:cNvPr id="0" name=""/>
            <xdr:cNvSpPr>
              <a:spLocks noTextEdit="1"/>
            </xdr:cNvSpPr>
          </xdr:nvSpPr>
          <xdr:spPr>
            <a:xfrm>
              <a:off x="4242506" y="871578"/>
              <a:ext cx="1827415" cy="2416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360020</xdr:colOff>
      <xdr:row>4</xdr:row>
      <xdr:rowOff>33746</xdr:rowOff>
    </xdr:from>
    <xdr:to>
      <xdr:col>11</xdr:col>
      <xdr:colOff>360020</xdr:colOff>
      <xdr:row>17</xdr:row>
      <xdr:rowOff>123282</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2630C8B0-B47A-4B30-ADBC-FFDD9224E69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402232" y="903322"/>
              <a:ext cx="1828800" cy="2420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105493</xdr:colOff>
      <xdr:row>4</xdr:row>
      <xdr:rowOff>48094</xdr:rowOff>
    </xdr:from>
    <xdr:to>
      <xdr:col>15</xdr:col>
      <xdr:colOff>105493</xdr:colOff>
      <xdr:row>17</xdr:row>
      <xdr:rowOff>134859</xdr:rowOff>
    </xdr:to>
    <mc:AlternateContent xmlns:mc="http://schemas.openxmlformats.org/markup-compatibility/2006">
      <mc:Choice xmlns:a14="http://schemas.microsoft.com/office/drawing/2010/main" Requires="a14">
        <xdr:graphicFrame macro="">
          <xdr:nvGraphicFramePr>
            <xdr:cNvPr id="4" name="Referred">
              <a:extLst>
                <a:ext uri="{FF2B5EF4-FFF2-40B4-BE49-F238E27FC236}">
                  <a16:creationId xmlns:a16="http://schemas.microsoft.com/office/drawing/2014/main" id="{6F10C2A0-0893-489A-82AC-BF71F3615C62}"/>
                </a:ext>
              </a:extLst>
            </xdr:cNvPr>
            <xdr:cNvGraphicFramePr/>
          </xdr:nvGraphicFramePr>
          <xdr:xfrm>
            <a:off x="0" y="0"/>
            <a:ext cx="0" cy="0"/>
          </xdr:xfrm>
          <a:graphic>
            <a:graphicData uri="http://schemas.microsoft.com/office/drawing/2010/slicer">
              <sle:slicer xmlns:sle="http://schemas.microsoft.com/office/drawing/2010/slicer" name="Referred"/>
            </a:graphicData>
          </a:graphic>
        </xdr:graphicFrame>
      </mc:Choice>
      <mc:Fallback>
        <xdr:sp macro="" textlink="">
          <xdr:nvSpPr>
            <xdr:cNvPr id="0" name=""/>
            <xdr:cNvSpPr>
              <a:spLocks noTextEdit="1"/>
            </xdr:cNvSpPr>
          </xdr:nvSpPr>
          <xdr:spPr>
            <a:xfrm>
              <a:off x="8586105" y="917670"/>
              <a:ext cx="1828800" cy="24175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459301</xdr:colOff>
      <xdr:row>19</xdr:row>
      <xdr:rowOff>44580</xdr:rowOff>
    </xdr:from>
    <xdr:to>
      <xdr:col>15</xdr:col>
      <xdr:colOff>326496</xdr:colOff>
      <xdr:row>38</xdr:row>
      <xdr:rowOff>136788</xdr:rowOff>
    </xdr:to>
    <xdr:graphicFrame macro="">
      <xdr:nvGraphicFramePr>
        <xdr:cNvPr id="5" name="Chart 4">
          <a:extLst>
            <a:ext uri="{FF2B5EF4-FFF2-40B4-BE49-F238E27FC236}">
              <a16:creationId xmlns:a16="http://schemas.microsoft.com/office/drawing/2014/main" id="{0D57E4BB-4B63-4DB2-A56F-E69E87F9FF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ish Saini" refreshedDate="46197.813200694443" createdVersion="8" refreshedVersion="8" minRefreshableVersion="3" recordCount="35" xr:uid="{5ADBB2FF-6B38-48C0-AEAB-57E2FEC92DDF}">
  <cacheSource type="worksheet">
    <worksheetSource name="Table1"/>
  </cacheSource>
  <cacheFields count="13">
    <cacheField name="S.No." numFmtId="0">
      <sharedItems/>
    </cacheField>
    <cacheField name="Full_Name" numFmtId="0">
      <sharedItems/>
    </cacheField>
    <cacheField name="Age" numFmtId="0">
      <sharedItems containsSemiMixedTypes="0" containsString="0" containsNumber="1" containsInteger="1" minValue="19" maxValue="59"/>
    </cacheField>
    <cacheField name="Gender" numFmtId="0">
      <sharedItems/>
    </cacheField>
    <cacheField name="Membership_Type" numFmtId="0">
      <sharedItems count="4">
        <s v="Basic"/>
        <s v="Standard"/>
        <s v="Family"/>
        <s v="Premium"/>
      </sharedItems>
    </cacheField>
    <cacheField name="Start_Date" numFmtId="164">
      <sharedItems containsSemiMixedTypes="0" containsNonDate="0" containsDate="1" containsString="0" minDate="2023-05-19T00:00:00" maxDate="2025-02-27T00:00:00"/>
    </cacheField>
    <cacheField name="End_Date" numFmtId="164">
      <sharedItems containsSemiMixedTypes="0" containsNonDate="0" containsDate="1" containsString="0" minDate="2023-11-12T00:00:00" maxDate="2025-03-30T00:00:00"/>
    </cacheField>
    <cacheField name="Monthly_Fee" numFmtId="0">
      <sharedItems containsSemiMixedTypes="0" containsString="0" containsNumber="1" containsInteger="1" minValue="800" maxValue="2500"/>
    </cacheField>
    <cacheField name="Attendance" numFmtId="0">
      <sharedItems containsSemiMixedTypes="0" containsString="0" containsNumber="1" containsInteger="1" minValue="2" maxValue="30"/>
    </cacheField>
    <cacheField name="City" numFmtId="0">
      <sharedItems count="6">
        <s v="Bengaluru"/>
        <s v="Pune"/>
        <s v="Hyderabad"/>
        <s v="Mumbai"/>
        <s v="Kolkata"/>
        <s v="Delhi"/>
      </sharedItems>
    </cacheField>
    <cacheField name="Referred_By" numFmtId="0">
      <sharedItems containsBlank="1"/>
    </cacheField>
    <cacheField name="  _x000a_Membership_Duration_M" numFmtId="0">
      <sharedItems containsSemiMixedTypes="0" containsString="0" containsNumber="1" containsInteger="1" minValue="1" maxValue="12"/>
    </cacheField>
    <cacheField name="Referred" numFmtId="0">
      <sharedItems count="2">
        <s v="Yes"/>
        <s v="No"/>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ish Saini" refreshedDate="46198.686223842589" createdVersion="8" refreshedVersion="8" minRefreshableVersion="3" recordCount="35" xr:uid="{A21DAC7C-06C7-4A65-A358-9EE575F006C7}">
  <cacheSource type="worksheet">
    <worksheetSource name="Table1"/>
  </cacheSource>
  <cacheFields count="14">
    <cacheField name="S.No." numFmtId="0">
      <sharedItems/>
    </cacheField>
    <cacheField name="Full_Name" numFmtId="0">
      <sharedItems count="35">
        <s v="Anay Shanker"/>
        <s v="Parinaaz Shanker"/>
        <s v="Aniruddh Batra"/>
        <s v="Madhup Kapur"/>
        <s v="Rasha Kakar"/>
        <s v="Ehsaan Batra"/>
        <s v="Zara Bains"/>
        <s v="Uthkarsh Baral"/>
        <s v="Kashvi Char"/>
        <s v="Dhanush Varma"/>
        <s v="Ishaan Goyal"/>
        <s v="Mahika Ravi"/>
        <s v="Purab Reddy"/>
        <s v="Tiya Soni"/>
        <s v="Zara Dugar"/>
        <s v="Lakshit Mander"/>
        <s v="Neysa Krish"/>
        <s v="Prerak Boase"/>
        <s v="Siya Master"/>
        <s v="Madhup Biswas"/>
        <s v="Indrans Ratti"/>
        <s v="Kimaya Balay"/>
        <s v="Eva Dass"/>
        <s v="Pihu Wali"/>
        <s v="Tiya Rege"/>
        <s v="Aarav Sen"/>
        <s v="Dishani Bera"/>
        <s v="Indrans Grover"/>
        <s v="Kismat Edwin"/>
        <s v="Taran Vyas"/>
        <s v="Jiya Baral"/>
        <s v="Gokul Sahni"/>
        <s v="Prerak Lalla"/>
        <s v="Hrishita Shroff"/>
        <s v="Oorja Sachar"/>
      </sharedItems>
    </cacheField>
    <cacheField name="Age" numFmtId="0">
      <sharedItems containsSemiMixedTypes="0" containsString="0" containsNumber="1" containsInteger="1" minValue="19" maxValue="59"/>
    </cacheField>
    <cacheField name="Gender" numFmtId="0">
      <sharedItems/>
    </cacheField>
    <cacheField name="Membership_Type" numFmtId="0">
      <sharedItems count="4">
        <s v="Basic"/>
        <s v="Standard"/>
        <s v="Family"/>
        <s v="Premium"/>
      </sharedItems>
    </cacheField>
    <cacheField name="Start_Date" numFmtId="164">
      <sharedItems containsSemiMixedTypes="0" containsNonDate="0" containsDate="1" containsString="0" minDate="2023-05-19T00:00:00" maxDate="2025-02-27T00:00:00"/>
    </cacheField>
    <cacheField name="End_Date" numFmtId="164">
      <sharedItems containsSemiMixedTypes="0" containsNonDate="0" containsDate="1" containsString="0" minDate="2023-11-12T00:00:00" maxDate="2025-03-30T00:00:00"/>
    </cacheField>
    <cacheField name="Monthly_Fee" numFmtId="0">
      <sharedItems containsSemiMixedTypes="0" containsString="0" containsNumber="1" containsInteger="1" minValue="800" maxValue="2500"/>
    </cacheField>
    <cacheField name="Attendance" numFmtId="0">
      <sharedItems containsSemiMixedTypes="0" containsString="0" containsNumber="1" containsInteger="1" minValue="2" maxValue="30"/>
    </cacheField>
    <cacheField name="City" numFmtId="0">
      <sharedItems count="6">
        <s v="Bengaluru"/>
        <s v="Pune"/>
        <s v="Hyderabad"/>
        <s v="Mumbai"/>
        <s v="Kolkata"/>
        <s v="Delhi"/>
      </sharedItems>
    </cacheField>
    <cacheField name="Referred_By" numFmtId="0">
      <sharedItems containsBlank="1"/>
    </cacheField>
    <cacheField name="Membership_Duration_M" numFmtId="0">
      <sharedItems containsSemiMixedTypes="0" containsString="0" containsNumber="1" containsInteger="1" minValue="0" maxValue="18"/>
    </cacheField>
    <cacheField name="Referred" numFmtId="0">
      <sharedItems/>
    </cacheField>
    <cacheField name="Total_Revenue" numFmtId="0">
      <sharedItems containsSemiMixedTypes="0" containsString="0" containsNumber="1" containsInteger="1" minValue="0" maxValue="35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ish Saini" refreshedDate="46198.885738425925" createdVersion="8" refreshedVersion="8" minRefreshableVersion="3" recordCount="35" xr:uid="{AC6EE114-B244-42B8-9796-4292905DA2F0}">
  <cacheSource type="worksheet">
    <worksheetSource name="Table13"/>
  </cacheSource>
  <cacheFields count="15">
    <cacheField name="S.No." numFmtId="0">
      <sharedItems/>
    </cacheField>
    <cacheField name="Full_Name" numFmtId="0">
      <sharedItems/>
    </cacheField>
    <cacheField name="Age" numFmtId="0">
      <sharedItems containsSemiMixedTypes="0" containsString="0" containsNumber="1" containsInteger="1" minValue="19" maxValue="59"/>
    </cacheField>
    <cacheField name="Gender" numFmtId="0">
      <sharedItems/>
    </cacheField>
    <cacheField name="Membership_Type" numFmtId="0">
      <sharedItems count="4">
        <s v="Basic"/>
        <s v="Standard"/>
        <s v="Family"/>
        <s v="Premium"/>
      </sharedItems>
    </cacheField>
    <cacheField name="Start_Date" numFmtId="164">
      <sharedItems containsSemiMixedTypes="0" containsNonDate="0" containsDate="1" containsString="0" minDate="2023-05-19T00:00:00" maxDate="2025-02-27T00:00:00"/>
    </cacheField>
    <cacheField name="End_Date" numFmtId="164">
      <sharedItems containsSemiMixedTypes="0" containsNonDate="0" containsDate="1" containsString="0" minDate="2023-11-12T00:00:00" maxDate="2025-03-30T00:00:00"/>
    </cacheField>
    <cacheField name="Monthly_Fee" numFmtId="0">
      <sharedItems containsSemiMixedTypes="0" containsString="0" containsNumber="1" containsInteger="1" minValue="800" maxValue="2500"/>
    </cacheField>
    <cacheField name="Attendance" numFmtId="0">
      <sharedItems containsSemiMixedTypes="0" containsString="0" containsNumber="1" containsInteger="1" minValue="2" maxValue="30"/>
    </cacheField>
    <cacheField name="City" numFmtId="0">
      <sharedItems count="6">
        <s v="Bengaluru"/>
        <s v="Pune"/>
        <s v="Hyderabad"/>
        <s v="Mumbai"/>
        <s v="Kolkata"/>
        <s v="Delhi"/>
      </sharedItems>
    </cacheField>
    <cacheField name="Referred_By" numFmtId="0">
      <sharedItems containsBlank="1"/>
    </cacheField>
    <cacheField name="Membership_Duration_M" numFmtId="0">
      <sharedItems containsSemiMixedTypes="0" containsString="0" containsNumber="1" containsInteger="1" minValue="0" maxValue="18"/>
    </cacheField>
    <cacheField name="Referred" numFmtId="0">
      <sharedItems count="2">
        <s v="Yes"/>
        <s v="No"/>
      </sharedItems>
    </cacheField>
    <cacheField name="Total_Revenue" numFmtId="0">
      <sharedItems containsSemiMixedTypes="0" containsString="0" containsNumber="1" containsInteger="1" minValue="0" maxValue="35000"/>
    </cacheField>
    <cacheField name="Low_Engagement_Flag" numFmtId="0">
      <sharedItems/>
    </cacheField>
  </cacheFields>
  <extLst>
    <ext xmlns:x14="http://schemas.microsoft.com/office/spreadsheetml/2009/9/main" uri="{725AE2AE-9491-48be-B2B4-4EB974FC3084}">
      <x14:pivotCacheDefinition pivotCacheId="1903205782"/>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ish Saini" refreshedDate="46198.898939120372" createdVersion="8" refreshedVersion="8" minRefreshableVersion="3" recordCount="35" xr:uid="{941F7D9B-531F-4171-B1FC-76FB5F2CF800}">
  <cacheSource type="worksheet">
    <worksheetSource name="Table134"/>
  </cacheSource>
  <cacheFields count="16">
    <cacheField name="S.No." numFmtId="0">
      <sharedItems/>
    </cacheField>
    <cacheField name="Full_Name" numFmtId="0">
      <sharedItems count="35">
        <s v="Anay Shanker"/>
        <s v="Parinaaz Shanker"/>
        <s v="Aniruddh Batra"/>
        <s v="Madhup Kapur"/>
        <s v="Rasha Kakar"/>
        <s v="Ehsaan Batra"/>
        <s v="Zara Bains"/>
        <s v="Uthkarsh Baral"/>
        <s v="Kashvi Char"/>
        <s v="Dhanush Varma"/>
        <s v="Ishaan Goyal"/>
        <s v="Mahika Ravi"/>
        <s v="Purab Reddy"/>
        <s v="Tiya Soni"/>
        <s v="Zara Dugar"/>
        <s v="Lakshit Mander"/>
        <s v="Neysa Krish"/>
        <s v="Prerak Boase"/>
        <s v="Siya Master"/>
        <s v="Madhup Biswas"/>
        <s v="Indrans Ratti"/>
        <s v="Kimaya Balay"/>
        <s v="Eva Dass"/>
        <s v="Pihu Wali"/>
        <s v="Tiya Rege"/>
        <s v="Aarav Sen"/>
        <s v="Dishani Bera"/>
        <s v="Indrans Grover"/>
        <s v="Kismat Edwin"/>
        <s v="Taran Vyas"/>
        <s v="Jiya Baral"/>
        <s v="Gokul Sahni"/>
        <s v="Prerak Lalla"/>
        <s v="Hrishita Shroff"/>
        <s v="Oorja Sachar"/>
      </sharedItems>
    </cacheField>
    <cacheField name="Age" numFmtId="0">
      <sharedItems containsSemiMixedTypes="0" containsString="0" containsNumber="1" containsInteger="1" minValue="19" maxValue="59"/>
    </cacheField>
    <cacheField name="Gender" numFmtId="0">
      <sharedItems count="2">
        <s v="Male"/>
        <s v="Female"/>
      </sharedItems>
    </cacheField>
    <cacheField name="Membership_Type" numFmtId="0">
      <sharedItems count="4">
        <s v="Basic"/>
        <s v="Standard"/>
        <s v="Family"/>
        <s v="Premium"/>
      </sharedItems>
    </cacheField>
    <cacheField name="Start_Date" numFmtId="164">
      <sharedItems containsSemiMixedTypes="0" containsNonDate="0" containsDate="1" containsString="0" minDate="2023-05-19T00:00:00" maxDate="2025-02-27T00:00:00"/>
    </cacheField>
    <cacheField name="End_Date" numFmtId="164">
      <sharedItems containsSemiMixedTypes="0" containsNonDate="0" containsDate="1" containsString="0" minDate="2023-11-12T00:00:00" maxDate="2025-03-30T00:00:00"/>
    </cacheField>
    <cacheField name="Monthly_Fee" numFmtId="0">
      <sharedItems containsSemiMixedTypes="0" containsString="0" containsNumber="1" containsInteger="1" minValue="800" maxValue="2500"/>
    </cacheField>
    <cacheField name="Attendance" numFmtId="0">
      <sharedItems containsSemiMixedTypes="0" containsString="0" containsNumber="1" containsInteger="1" minValue="2" maxValue="30"/>
    </cacheField>
    <cacheField name="City" numFmtId="0">
      <sharedItems count="6">
        <s v="Bengaluru"/>
        <s v="Pune"/>
        <s v="Hyderabad"/>
        <s v="Mumbai"/>
        <s v="Kolkata"/>
        <s v="Delhi"/>
      </sharedItems>
    </cacheField>
    <cacheField name="Referred_By" numFmtId="0">
      <sharedItems containsBlank="1"/>
    </cacheField>
    <cacheField name="Membership_Duration_M" numFmtId="0">
      <sharedItems containsSemiMixedTypes="0" containsString="0" containsNumber="1" containsInteger="1" minValue="0" maxValue="18"/>
    </cacheField>
    <cacheField name="Referred" numFmtId="0">
      <sharedItems/>
    </cacheField>
    <cacheField name="Total_Revenue" numFmtId="0">
      <sharedItems containsSemiMixedTypes="0" containsString="0" containsNumber="1" containsInteger="1" minValue="0" maxValue="35000"/>
    </cacheField>
    <cacheField name="Low_Engagement_Flag" numFmtId="0">
      <sharedItems/>
    </cacheField>
    <cacheField name="Age_Group" numFmtId="0">
      <sharedItems count="3">
        <s v="Senior"/>
        <s v="Youth"/>
        <s v="Adult"/>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s v="M001"/>
    <s v="Anay Shanker"/>
    <n v="59"/>
    <s v="Male"/>
    <x v="0"/>
    <d v="2023-11-05T00:00:00"/>
    <d v="2024-05-13T00:00:00"/>
    <n v="800"/>
    <n v="25"/>
    <x v="0"/>
    <s v="Hiran Shan"/>
    <n v="7"/>
    <x v="0"/>
  </r>
  <r>
    <s v="M002"/>
    <s v="Parinaaz Shanker"/>
    <n v="27"/>
    <s v="Male"/>
    <x v="0"/>
    <d v="2025-02-26T00:00:00"/>
    <d v="2025-03-24T00:00:00"/>
    <n v="800"/>
    <n v="20"/>
    <x v="1"/>
    <s v="Kiara Kakar"/>
    <n v="1"/>
    <x v="0"/>
  </r>
  <r>
    <s v="M003"/>
    <s v="Aniruddh Batra"/>
    <n v="24"/>
    <s v="Male"/>
    <x v="1"/>
    <d v="2023-09-22T00:00:00"/>
    <d v="2024-03-20T00:00:00"/>
    <n v="1200"/>
    <n v="18"/>
    <x v="2"/>
    <s v="Jhanvi Chaudhary"/>
    <n v="6"/>
    <x v="0"/>
  </r>
  <r>
    <s v="M004"/>
    <s v="Madhup Kapur"/>
    <n v="31"/>
    <s v="Female"/>
    <x v="1"/>
    <d v="2024-07-06T00:00:00"/>
    <d v="2024-10-22T00:00:00"/>
    <n v="1200"/>
    <n v="16"/>
    <x v="2"/>
    <s v="Tara Swaminathan"/>
    <n v="4"/>
    <x v="0"/>
  </r>
  <r>
    <s v="M005"/>
    <s v="Rasha Kakar"/>
    <n v="19"/>
    <s v="Male"/>
    <x v="2"/>
    <d v="2023-12-26T00:00:00"/>
    <d v="2024-07-28T00:00:00"/>
    <n v="2500"/>
    <n v="12"/>
    <x v="0"/>
    <s v="Madhav Singh"/>
    <n v="8"/>
    <x v="0"/>
  </r>
  <r>
    <s v="M006"/>
    <s v="Ehsaan Batra"/>
    <n v="40"/>
    <s v="Male"/>
    <x v="0"/>
    <d v="2024-01-26T00:00:00"/>
    <d v="2024-04-10T00:00:00"/>
    <n v="800"/>
    <n v="14"/>
    <x v="3"/>
    <s v="Shray Ramakrishnan"/>
    <n v="3"/>
    <x v="0"/>
  </r>
  <r>
    <s v="M007"/>
    <s v="Zara Bains"/>
    <n v="41"/>
    <s v="Female"/>
    <x v="0"/>
    <d v="2024-10-23T00:00:00"/>
    <d v="2025-01-20T00:00:00"/>
    <n v="800"/>
    <n v="25"/>
    <x v="1"/>
    <m/>
    <n v="3"/>
    <x v="1"/>
  </r>
  <r>
    <s v="M008"/>
    <s v="Uthkarsh Baral"/>
    <n v="43"/>
    <s v="Male"/>
    <x v="3"/>
    <d v="2024-06-07T00:00:00"/>
    <d v="2024-09-28T00:00:00"/>
    <n v="1800"/>
    <n v="28"/>
    <x v="4"/>
    <m/>
    <n v="4"/>
    <x v="1"/>
  </r>
  <r>
    <s v="M009"/>
    <s v="Kashvi Char"/>
    <n v="42"/>
    <s v="Male"/>
    <x v="0"/>
    <d v="2024-10-04T00:00:00"/>
    <d v="2024-10-17T00:00:00"/>
    <n v="800"/>
    <n v="3"/>
    <x v="4"/>
    <s v="Nitara Comar"/>
    <n v="1"/>
    <x v="0"/>
  </r>
  <r>
    <s v="M010"/>
    <s v="Dhanush Varma"/>
    <n v="37"/>
    <s v="Male"/>
    <x v="1"/>
    <d v="2023-10-03T00:00:00"/>
    <d v="2023-12-20T00:00:00"/>
    <n v="1200"/>
    <n v="29"/>
    <x v="3"/>
    <s v="Ranbir Karan"/>
    <n v="3"/>
    <x v="0"/>
  </r>
  <r>
    <s v="M011"/>
    <s v="Ishaan Goyal"/>
    <n v="48"/>
    <s v="Female"/>
    <x v="1"/>
    <d v="2024-01-06T00:00:00"/>
    <d v="2024-06-16T00:00:00"/>
    <n v="1200"/>
    <n v="13"/>
    <x v="0"/>
    <s v="Rati Sanghvi"/>
    <n v="6"/>
    <x v="0"/>
  </r>
  <r>
    <s v="M012"/>
    <s v="Mahika Ravi"/>
    <n v="36"/>
    <s v="Male"/>
    <x v="1"/>
    <d v="2023-08-16T00:00:00"/>
    <d v="2024-10-03T00:00:00"/>
    <n v="1200"/>
    <n v="19"/>
    <x v="4"/>
    <s v="Ishaan Kashyap"/>
    <n v="2"/>
    <x v="0"/>
  </r>
  <r>
    <s v="M013"/>
    <s v="Purab Reddy"/>
    <n v="48"/>
    <s v="Female"/>
    <x v="3"/>
    <d v="2024-09-21T00:00:00"/>
    <d v="2024-12-15T00:00:00"/>
    <n v="1800"/>
    <n v="22"/>
    <x v="4"/>
    <m/>
    <n v="3"/>
    <x v="1"/>
  </r>
  <r>
    <s v="M014"/>
    <s v="Tiya Soni"/>
    <n v="39"/>
    <s v="Male"/>
    <x v="1"/>
    <d v="2023-05-19T00:00:00"/>
    <d v="2023-11-12T00:00:00"/>
    <n v="1200"/>
    <n v="28"/>
    <x v="3"/>
    <m/>
    <n v="6"/>
    <x v="1"/>
  </r>
  <r>
    <s v="M015"/>
    <s v="Zara Dugar"/>
    <n v="44"/>
    <s v="Female"/>
    <x v="0"/>
    <d v="2024-02-11T00:00:00"/>
    <d v="2024-09-05T00:00:00"/>
    <n v="800"/>
    <n v="8"/>
    <x v="2"/>
    <m/>
    <n v="7"/>
    <x v="1"/>
  </r>
  <r>
    <s v="M016"/>
    <s v="Lakshit Mander"/>
    <n v="39"/>
    <s v="Male"/>
    <x v="2"/>
    <d v="2025-02-14T00:00:00"/>
    <d v="2025-03-16T00:00:00"/>
    <n v="2500"/>
    <n v="14"/>
    <x v="4"/>
    <m/>
    <n v="1"/>
    <x v="1"/>
  </r>
  <r>
    <s v="M017"/>
    <s v="Neysa Krish"/>
    <n v="35"/>
    <s v="Male"/>
    <x v="1"/>
    <d v="2024-02-07T00:00:00"/>
    <d v="2025-01-28T00:00:00"/>
    <n v="1200"/>
    <n v="25"/>
    <x v="2"/>
    <m/>
    <n v="12"/>
    <x v="1"/>
  </r>
  <r>
    <s v="M018"/>
    <s v="Prerak Boase"/>
    <n v="56"/>
    <s v="Female"/>
    <x v="2"/>
    <d v="2023-10-14T00:00:00"/>
    <d v="2024-12-23T00:00:00"/>
    <n v="2500"/>
    <n v="13"/>
    <x v="5"/>
    <m/>
    <n v="3"/>
    <x v="1"/>
  </r>
  <r>
    <s v="M019"/>
    <s v="Siya Master"/>
    <n v="27"/>
    <s v="Female"/>
    <x v="0"/>
    <d v="2024-03-03T00:00:00"/>
    <d v="2025-01-07T00:00:00"/>
    <n v="800"/>
    <n v="26"/>
    <x v="3"/>
    <m/>
    <n v="11"/>
    <x v="1"/>
  </r>
  <r>
    <s v="M020"/>
    <s v="Madhup Biswas"/>
    <n v="28"/>
    <s v="Male"/>
    <x v="2"/>
    <d v="2024-05-05T00:00:00"/>
    <d v="2024-11-12T00:00:00"/>
    <n v="2500"/>
    <n v="21"/>
    <x v="3"/>
    <s v="Tanya Bajwa"/>
    <n v="7"/>
    <x v="0"/>
  </r>
  <r>
    <s v="M021"/>
    <s v="Indrans Ratti"/>
    <n v="57"/>
    <s v="Female"/>
    <x v="3"/>
    <d v="2023-08-08T00:00:00"/>
    <d v="2025-01-17T00:00:00"/>
    <n v="1800"/>
    <n v="19"/>
    <x v="3"/>
    <m/>
    <n v="6"/>
    <x v="1"/>
  </r>
  <r>
    <s v="M022"/>
    <s v="Kimaya Balay"/>
    <n v="26"/>
    <s v="Female"/>
    <x v="3"/>
    <d v="2024-01-29T00:00:00"/>
    <d v="2024-11-20T00:00:00"/>
    <n v="1800"/>
    <n v="5"/>
    <x v="0"/>
    <m/>
    <n v="10"/>
    <x v="1"/>
  </r>
  <r>
    <s v="M023"/>
    <s v="Eva Dass"/>
    <n v="48"/>
    <s v="Male"/>
    <x v="3"/>
    <d v="2024-06-08T00:00:00"/>
    <d v="2024-06-12T00:00:00"/>
    <n v="1800"/>
    <n v="18"/>
    <x v="5"/>
    <m/>
    <n v="1"/>
    <x v="1"/>
  </r>
  <r>
    <s v="M024"/>
    <s v="Pihu Wali"/>
    <n v="25"/>
    <s v="Female"/>
    <x v="1"/>
    <d v="2024-05-27T00:00:00"/>
    <d v="2025-03-14T00:00:00"/>
    <n v="1200"/>
    <n v="6"/>
    <x v="0"/>
    <m/>
    <n v="10"/>
    <x v="1"/>
  </r>
  <r>
    <s v="M025"/>
    <s v="Tiya Rege"/>
    <n v="53"/>
    <s v="Male"/>
    <x v="3"/>
    <d v="2023-12-26T00:00:00"/>
    <d v="2024-03-21T00:00:00"/>
    <n v="1800"/>
    <n v="17"/>
    <x v="3"/>
    <s v="Adira Brar"/>
    <n v="3"/>
    <x v="0"/>
  </r>
  <r>
    <s v="M026"/>
    <s v="Aarav Sen"/>
    <n v="42"/>
    <s v="Female"/>
    <x v="1"/>
    <d v="2025-02-14T00:00:00"/>
    <d v="2025-03-11T00:00:00"/>
    <n v="1200"/>
    <n v="3"/>
    <x v="5"/>
    <m/>
    <n v="1"/>
    <x v="1"/>
  </r>
  <r>
    <s v="M027"/>
    <s v="Dishani Bera"/>
    <n v="24"/>
    <s v="Male"/>
    <x v="2"/>
    <d v="2025-02-10T00:00:00"/>
    <d v="2025-03-10T00:00:00"/>
    <n v="2500"/>
    <n v="28"/>
    <x v="3"/>
    <m/>
    <n v="1"/>
    <x v="1"/>
  </r>
  <r>
    <s v="M028"/>
    <s v="Indrans Grover"/>
    <n v="53"/>
    <s v="Male"/>
    <x v="1"/>
    <d v="2024-11-18T00:00:00"/>
    <d v="2024-12-19T00:00:00"/>
    <n v="1200"/>
    <n v="23"/>
    <x v="1"/>
    <m/>
    <n v="1"/>
    <x v="1"/>
  </r>
  <r>
    <s v="M029"/>
    <s v="Kismat Edwin"/>
    <n v="29"/>
    <s v="Female"/>
    <x v="2"/>
    <d v="2024-04-19T00:00:00"/>
    <d v="2024-04-26T00:00:00"/>
    <n v="2500"/>
    <n v="8"/>
    <x v="2"/>
    <m/>
    <n v="1"/>
    <x v="1"/>
  </r>
  <r>
    <s v="M030"/>
    <s v="Taran Vyas"/>
    <n v="31"/>
    <s v="Female"/>
    <x v="2"/>
    <d v="2025-01-10T00:00:00"/>
    <d v="2025-03-29T00:00:00"/>
    <n v="2500"/>
    <n v="23"/>
    <x v="4"/>
    <s v="Nakul Balakrishnan"/>
    <n v="3"/>
    <x v="0"/>
  </r>
  <r>
    <s v="M031"/>
    <s v="Jiya Baral"/>
    <n v="52"/>
    <s v="Female"/>
    <x v="0"/>
    <d v="2023-06-11T00:00:00"/>
    <d v="2024-12-30T00:00:00"/>
    <n v="800"/>
    <n v="9"/>
    <x v="5"/>
    <s v="Darshit Sidhu"/>
    <n v="7"/>
    <x v="0"/>
  </r>
  <r>
    <s v="M032"/>
    <s v="Gokul Sahni"/>
    <n v="20"/>
    <s v="Male"/>
    <x v="1"/>
    <d v="2024-04-09T00:00:00"/>
    <d v="2024-11-08T00:00:00"/>
    <n v="1200"/>
    <n v="2"/>
    <x v="3"/>
    <m/>
    <n v="7"/>
    <x v="1"/>
  </r>
  <r>
    <s v="M033"/>
    <s v="Prerak Lalla"/>
    <n v="22"/>
    <s v="Male"/>
    <x v="0"/>
    <d v="2025-02-11T00:00:00"/>
    <d v="2025-03-24T00:00:00"/>
    <n v="800"/>
    <n v="30"/>
    <x v="3"/>
    <m/>
    <n v="2"/>
    <x v="1"/>
  </r>
  <r>
    <s v="M034"/>
    <s v="Hrishita Shroff"/>
    <n v="23"/>
    <s v="Male"/>
    <x v="3"/>
    <d v="2024-10-23T00:00:00"/>
    <d v="2025-03-05T00:00:00"/>
    <n v="1800"/>
    <n v="23"/>
    <x v="1"/>
    <s v="Riya Dugal"/>
    <n v="5"/>
    <x v="0"/>
  </r>
  <r>
    <s v="M035"/>
    <s v="Oorja Sachar"/>
    <n v="27"/>
    <s v="Female"/>
    <x v="1"/>
    <d v="2024-01-21T00:00:00"/>
    <d v="2024-12-26T00:00:00"/>
    <n v="1200"/>
    <n v="27"/>
    <x v="1"/>
    <m/>
    <n v="12"/>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s v="M001"/>
    <x v="0"/>
    <n v="59"/>
    <s v="Male"/>
    <x v="0"/>
    <d v="2023-11-05T00:00:00"/>
    <d v="2024-05-13T00:00:00"/>
    <n v="800"/>
    <n v="25"/>
    <x v="0"/>
    <s v="Hiran Shan"/>
    <n v="6"/>
    <s v="Yes"/>
    <n v="4800"/>
  </r>
  <r>
    <s v="M002"/>
    <x v="1"/>
    <n v="27"/>
    <s v="Male"/>
    <x v="0"/>
    <d v="2025-02-26T00:00:00"/>
    <d v="2025-03-24T00:00:00"/>
    <n v="800"/>
    <n v="20"/>
    <x v="1"/>
    <s v="Kiara Kakar"/>
    <n v="0"/>
    <s v="Yes"/>
    <n v="0"/>
  </r>
  <r>
    <s v="M003"/>
    <x v="2"/>
    <n v="24"/>
    <s v="Male"/>
    <x v="1"/>
    <d v="2023-09-22T00:00:00"/>
    <d v="2024-03-20T00:00:00"/>
    <n v="1200"/>
    <n v="18"/>
    <x v="2"/>
    <s v="Jhanvi Chaudhary"/>
    <n v="6"/>
    <s v="Yes"/>
    <n v="7200"/>
  </r>
  <r>
    <s v="M004"/>
    <x v="3"/>
    <n v="31"/>
    <s v="Female"/>
    <x v="1"/>
    <d v="2024-07-06T00:00:00"/>
    <d v="2024-10-22T00:00:00"/>
    <n v="1200"/>
    <n v="16"/>
    <x v="2"/>
    <s v="Tara Swaminathan"/>
    <n v="3"/>
    <s v="Yes"/>
    <n v="3600"/>
  </r>
  <r>
    <s v="M005"/>
    <x v="4"/>
    <n v="19"/>
    <s v="Male"/>
    <x v="2"/>
    <d v="2023-12-26T00:00:00"/>
    <d v="2024-07-28T00:00:00"/>
    <n v="2500"/>
    <n v="12"/>
    <x v="0"/>
    <s v="Madhav Singh"/>
    <n v="7"/>
    <s v="Yes"/>
    <n v="17500"/>
  </r>
  <r>
    <s v="M006"/>
    <x v="5"/>
    <n v="40"/>
    <s v="Male"/>
    <x v="0"/>
    <d v="2024-01-26T00:00:00"/>
    <d v="2024-04-10T00:00:00"/>
    <n v="800"/>
    <n v="14"/>
    <x v="3"/>
    <s v="Shray Ramakrishnan"/>
    <n v="2"/>
    <s v="Yes"/>
    <n v="1600"/>
  </r>
  <r>
    <s v="M007"/>
    <x v="6"/>
    <n v="41"/>
    <s v="Female"/>
    <x v="0"/>
    <d v="2024-10-23T00:00:00"/>
    <d v="2025-01-20T00:00:00"/>
    <n v="800"/>
    <n v="25"/>
    <x v="1"/>
    <m/>
    <n v="2"/>
    <s v="No"/>
    <n v="1600"/>
  </r>
  <r>
    <s v="M008"/>
    <x v="7"/>
    <n v="43"/>
    <s v="Male"/>
    <x v="3"/>
    <d v="2024-06-07T00:00:00"/>
    <d v="2024-09-28T00:00:00"/>
    <n v="1800"/>
    <n v="28"/>
    <x v="4"/>
    <m/>
    <n v="3"/>
    <s v="No"/>
    <n v="5400"/>
  </r>
  <r>
    <s v="M009"/>
    <x v="8"/>
    <n v="42"/>
    <s v="Male"/>
    <x v="0"/>
    <d v="2024-10-04T00:00:00"/>
    <d v="2024-10-17T00:00:00"/>
    <n v="800"/>
    <n v="3"/>
    <x v="4"/>
    <s v="Nitara Comar"/>
    <n v="0"/>
    <s v="Yes"/>
    <n v="0"/>
  </r>
  <r>
    <s v="M010"/>
    <x v="9"/>
    <n v="37"/>
    <s v="Male"/>
    <x v="1"/>
    <d v="2023-10-03T00:00:00"/>
    <d v="2023-12-20T00:00:00"/>
    <n v="1200"/>
    <n v="29"/>
    <x v="3"/>
    <s v="Ranbir Karan"/>
    <n v="2"/>
    <s v="Yes"/>
    <n v="2400"/>
  </r>
  <r>
    <s v="M011"/>
    <x v="10"/>
    <n v="48"/>
    <s v="Female"/>
    <x v="1"/>
    <d v="2024-01-06T00:00:00"/>
    <d v="2024-06-16T00:00:00"/>
    <n v="1200"/>
    <n v="13"/>
    <x v="0"/>
    <s v="Rati Sanghvi"/>
    <n v="5"/>
    <s v="Yes"/>
    <n v="6000"/>
  </r>
  <r>
    <s v="M012"/>
    <x v="11"/>
    <n v="36"/>
    <s v="Male"/>
    <x v="1"/>
    <d v="2023-08-16T00:00:00"/>
    <d v="2024-10-03T00:00:00"/>
    <n v="1200"/>
    <n v="19"/>
    <x v="4"/>
    <s v="Ishaan Kashyap"/>
    <n v="13"/>
    <s v="Yes"/>
    <n v="15600"/>
  </r>
  <r>
    <s v="M013"/>
    <x v="12"/>
    <n v="48"/>
    <s v="Female"/>
    <x v="3"/>
    <d v="2024-09-21T00:00:00"/>
    <d v="2024-12-15T00:00:00"/>
    <n v="1800"/>
    <n v="22"/>
    <x v="4"/>
    <m/>
    <n v="2"/>
    <s v="No"/>
    <n v="3600"/>
  </r>
  <r>
    <s v="M014"/>
    <x v="13"/>
    <n v="39"/>
    <s v="Male"/>
    <x v="1"/>
    <d v="2023-05-19T00:00:00"/>
    <d v="2023-11-12T00:00:00"/>
    <n v="1200"/>
    <n v="28"/>
    <x v="3"/>
    <m/>
    <n v="5"/>
    <s v="No"/>
    <n v="6000"/>
  </r>
  <r>
    <s v="M015"/>
    <x v="14"/>
    <n v="44"/>
    <s v="Female"/>
    <x v="0"/>
    <d v="2024-02-11T00:00:00"/>
    <d v="2024-09-05T00:00:00"/>
    <n v="800"/>
    <n v="8"/>
    <x v="2"/>
    <m/>
    <n v="6"/>
    <s v="No"/>
    <n v="4800"/>
  </r>
  <r>
    <s v="M016"/>
    <x v="15"/>
    <n v="39"/>
    <s v="Male"/>
    <x v="2"/>
    <d v="2025-02-14T00:00:00"/>
    <d v="2025-03-16T00:00:00"/>
    <n v="2500"/>
    <n v="14"/>
    <x v="4"/>
    <m/>
    <n v="1"/>
    <s v="No"/>
    <n v="2500"/>
  </r>
  <r>
    <s v="M017"/>
    <x v="16"/>
    <n v="35"/>
    <s v="Male"/>
    <x v="1"/>
    <d v="2024-02-07T00:00:00"/>
    <d v="2025-01-28T00:00:00"/>
    <n v="1200"/>
    <n v="25"/>
    <x v="2"/>
    <m/>
    <n v="11"/>
    <s v="No"/>
    <n v="13200"/>
  </r>
  <r>
    <s v="M018"/>
    <x v="17"/>
    <n v="56"/>
    <s v="Female"/>
    <x v="2"/>
    <d v="2023-10-14T00:00:00"/>
    <d v="2024-12-23T00:00:00"/>
    <n v="2500"/>
    <n v="13"/>
    <x v="5"/>
    <m/>
    <n v="14"/>
    <s v="No"/>
    <n v="35000"/>
  </r>
  <r>
    <s v="M019"/>
    <x v="18"/>
    <n v="27"/>
    <s v="Female"/>
    <x v="0"/>
    <d v="2024-03-03T00:00:00"/>
    <d v="2025-01-07T00:00:00"/>
    <n v="800"/>
    <n v="26"/>
    <x v="3"/>
    <m/>
    <n v="10"/>
    <s v="No"/>
    <n v="8000"/>
  </r>
  <r>
    <s v="M020"/>
    <x v="19"/>
    <n v="28"/>
    <s v="Male"/>
    <x v="2"/>
    <d v="2024-05-05T00:00:00"/>
    <d v="2024-11-12T00:00:00"/>
    <n v="2500"/>
    <n v="21"/>
    <x v="3"/>
    <s v="Tanya Bajwa"/>
    <n v="6"/>
    <s v="Yes"/>
    <n v="15000"/>
  </r>
  <r>
    <s v="M021"/>
    <x v="20"/>
    <n v="57"/>
    <s v="Female"/>
    <x v="3"/>
    <d v="2023-08-08T00:00:00"/>
    <d v="2025-01-17T00:00:00"/>
    <n v="1800"/>
    <n v="19"/>
    <x v="3"/>
    <m/>
    <n v="17"/>
    <s v="No"/>
    <n v="30600"/>
  </r>
  <r>
    <s v="M022"/>
    <x v="21"/>
    <n v="26"/>
    <s v="Female"/>
    <x v="3"/>
    <d v="2024-01-29T00:00:00"/>
    <d v="2024-11-20T00:00:00"/>
    <n v="1800"/>
    <n v="5"/>
    <x v="0"/>
    <m/>
    <n v="9"/>
    <s v="No"/>
    <n v="16200"/>
  </r>
  <r>
    <s v="M023"/>
    <x v="22"/>
    <n v="48"/>
    <s v="Male"/>
    <x v="3"/>
    <d v="2024-06-08T00:00:00"/>
    <d v="2024-06-12T00:00:00"/>
    <n v="1800"/>
    <n v="18"/>
    <x v="5"/>
    <m/>
    <n v="0"/>
    <s v="No"/>
    <n v="0"/>
  </r>
  <r>
    <s v="M024"/>
    <x v="23"/>
    <n v="25"/>
    <s v="Female"/>
    <x v="1"/>
    <d v="2024-05-27T00:00:00"/>
    <d v="2025-03-14T00:00:00"/>
    <n v="1200"/>
    <n v="6"/>
    <x v="0"/>
    <m/>
    <n v="9"/>
    <s v="No"/>
    <n v="10800"/>
  </r>
  <r>
    <s v="M025"/>
    <x v="24"/>
    <n v="53"/>
    <s v="Male"/>
    <x v="3"/>
    <d v="2023-12-26T00:00:00"/>
    <d v="2024-03-21T00:00:00"/>
    <n v="1800"/>
    <n v="17"/>
    <x v="3"/>
    <s v="Adira Brar"/>
    <n v="2"/>
    <s v="Yes"/>
    <n v="3600"/>
  </r>
  <r>
    <s v="M026"/>
    <x v="25"/>
    <n v="42"/>
    <s v="Female"/>
    <x v="1"/>
    <d v="2025-02-14T00:00:00"/>
    <d v="2025-03-11T00:00:00"/>
    <n v="1200"/>
    <n v="3"/>
    <x v="5"/>
    <m/>
    <n v="0"/>
    <s v="No"/>
    <n v="0"/>
  </r>
  <r>
    <s v="M027"/>
    <x v="26"/>
    <n v="24"/>
    <s v="Male"/>
    <x v="2"/>
    <d v="2025-02-10T00:00:00"/>
    <d v="2025-03-10T00:00:00"/>
    <n v="2500"/>
    <n v="28"/>
    <x v="3"/>
    <m/>
    <n v="0"/>
    <s v="No"/>
    <n v="0"/>
  </r>
  <r>
    <s v="M028"/>
    <x v="27"/>
    <n v="53"/>
    <s v="Male"/>
    <x v="1"/>
    <d v="2024-11-18T00:00:00"/>
    <d v="2024-12-19T00:00:00"/>
    <n v="1200"/>
    <n v="23"/>
    <x v="1"/>
    <m/>
    <n v="1"/>
    <s v="No"/>
    <n v="1200"/>
  </r>
  <r>
    <s v="M029"/>
    <x v="28"/>
    <n v="29"/>
    <s v="Female"/>
    <x v="2"/>
    <d v="2024-04-19T00:00:00"/>
    <d v="2024-04-26T00:00:00"/>
    <n v="2500"/>
    <n v="8"/>
    <x v="2"/>
    <m/>
    <n v="0"/>
    <s v="No"/>
    <n v="0"/>
  </r>
  <r>
    <s v="M030"/>
    <x v="29"/>
    <n v="31"/>
    <s v="Female"/>
    <x v="2"/>
    <d v="2025-01-10T00:00:00"/>
    <d v="2025-03-29T00:00:00"/>
    <n v="2500"/>
    <n v="23"/>
    <x v="4"/>
    <s v="Nakul Balakrishnan"/>
    <n v="2"/>
    <s v="Yes"/>
    <n v="5000"/>
  </r>
  <r>
    <s v="M031"/>
    <x v="30"/>
    <n v="52"/>
    <s v="Female"/>
    <x v="0"/>
    <d v="2023-06-11T00:00:00"/>
    <d v="2024-12-30T00:00:00"/>
    <n v="800"/>
    <n v="9"/>
    <x v="5"/>
    <s v="Darshit Sidhu"/>
    <n v="18"/>
    <s v="Yes"/>
    <n v="14400"/>
  </r>
  <r>
    <s v="M032"/>
    <x v="31"/>
    <n v="20"/>
    <s v="Male"/>
    <x v="1"/>
    <d v="2024-04-09T00:00:00"/>
    <d v="2024-11-08T00:00:00"/>
    <n v="1200"/>
    <n v="2"/>
    <x v="3"/>
    <m/>
    <n v="7"/>
    <s v="No"/>
    <n v="8400"/>
  </r>
  <r>
    <s v="M033"/>
    <x v="32"/>
    <n v="22"/>
    <s v="Male"/>
    <x v="0"/>
    <d v="2025-02-11T00:00:00"/>
    <d v="2025-03-24T00:00:00"/>
    <n v="800"/>
    <n v="30"/>
    <x v="3"/>
    <m/>
    <n v="1"/>
    <s v="No"/>
    <n v="800"/>
  </r>
  <r>
    <s v="M034"/>
    <x v="33"/>
    <n v="23"/>
    <s v="Male"/>
    <x v="3"/>
    <d v="2024-10-23T00:00:00"/>
    <d v="2025-03-05T00:00:00"/>
    <n v="1800"/>
    <n v="23"/>
    <x v="1"/>
    <s v="Riya Dugal"/>
    <n v="4"/>
    <s v="Yes"/>
    <n v="7200"/>
  </r>
  <r>
    <s v="M035"/>
    <x v="34"/>
    <n v="27"/>
    <s v="Female"/>
    <x v="1"/>
    <d v="2024-01-21T00:00:00"/>
    <d v="2024-12-26T00:00:00"/>
    <n v="1200"/>
    <n v="27"/>
    <x v="1"/>
    <m/>
    <n v="11"/>
    <s v="No"/>
    <n v="132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s v="M001"/>
    <s v="Anay Shanker"/>
    <n v="59"/>
    <s v="Male"/>
    <x v="0"/>
    <d v="2023-11-05T00:00:00"/>
    <d v="2024-05-13T00:00:00"/>
    <n v="800"/>
    <n v="25"/>
    <x v="0"/>
    <s v="Hiran Shan"/>
    <n v="6"/>
    <x v="0"/>
    <n v="4800"/>
    <s v=""/>
  </r>
  <r>
    <s v="M002"/>
    <s v="Parinaaz Shanker"/>
    <n v="27"/>
    <s v="Male"/>
    <x v="0"/>
    <d v="2025-02-26T00:00:00"/>
    <d v="2025-03-24T00:00:00"/>
    <n v="800"/>
    <n v="20"/>
    <x v="1"/>
    <s v="Kiara Kakar"/>
    <n v="0"/>
    <x v="0"/>
    <n v="0"/>
    <s v=""/>
  </r>
  <r>
    <s v="M003"/>
    <s v="Aniruddh Batra"/>
    <n v="24"/>
    <s v="Male"/>
    <x v="1"/>
    <d v="2023-09-22T00:00:00"/>
    <d v="2024-03-20T00:00:00"/>
    <n v="1200"/>
    <n v="18"/>
    <x v="2"/>
    <s v="Jhanvi Chaudhary"/>
    <n v="6"/>
    <x v="0"/>
    <n v="7200"/>
    <s v=""/>
  </r>
  <r>
    <s v="M004"/>
    <s v="Madhup Kapur"/>
    <n v="31"/>
    <s v="Female"/>
    <x v="1"/>
    <d v="2024-07-06T00:00:00"/>
    <d v="2024-10-22T00:00:00"/>
    <n v="1200"/>
    <n v="16"/>
    <x v="2"/>
    <s v="Tara Swaminathan"/>
    <n v="3"/>
    <x v="0"/>
    <n v="3600"/>
    <s v=""/>
  </r>
  <r>
    <s v="M005"/>
    <s v="Rasha Kakar"/>
    <n v="19"/>
    <s v="Male"/>
    <x v="2"/>
    <d v="2023-12-26T00:00:00"/>
    <d v="2024-07-28T00:00:00"/>
    <n v="2500"/>
    <n v="12"/>
    <x v="0"/>
    <s v="Madhav Singh"/>
    <n v="7"/>
    <x v="0"/>
    <n v="17500"/>
    <s v=""/>
  </r>
  <r>
    <s v="M006"/>
    <s v="Ehsaan Batra"/>
    <n v="40"/>
    <s v="Male"/>
    <x v="0"/>
    <d v="2024-01-26T00:00:00"/>
    <d v="2024-04-10T00:00:00"/>
    <n v="800"/>
    <n v="14"/>
    <x v="3"/>
    <s v="Shray Ramakrishnan"/>
    <n v="2"/>
    <x v="0"/>
    <n v="1600"/>
    <s v=""/>
  </r>
  <r>
    <s v="M007"/>
    <s v="Zara Bains"/>
    <n v="41"/>
    <s v="Female"/>
    <x v="0"/>
    <d v="2024-10-23T00:00:00"/>
    <d v="2025-01-20T00:00:00"/>
    <n v="800"/>
    <n v="25"/>
    <x v="1"/>
    <m/>
    <n v="2"/>
    <x v="1"/>
    <n v="1600"/>
    <s v=""/>
  </r>
  <r>
    <s v="M008"/>
    <s v="Uthkarsh Baral"/>
    <n v="43"/>
    <s v="Male"/>
    <x v="3"/>
    <d v="2024-06-07T00:00:00"/>
    <d v="2024-09-28T00:00:00"/>
    <n v="1800"/>
    <n v="28"/>
    <x v="4"/>
    <m/>
    <n v="3"/>
    <x v="1"/>
    <n v="5400"/>
    <s v=""/>
  </r>
  <r>
    <s v="M009"/>
    <s v="Kashvi Char"/>
    <n v="42"/>
    <s v="Male"/>
    <x v="0"/>
    <d v="2024-10-04T00:00:00"/>
    <d v="2024-10-17T00:00:00"/>
    <n v="800"/>
    <n v="3"/>
    <x v="4"/>
    <s v="Nitara Comar"/>
    <n v="0"/>
    <x v="0"/>
    <n v="0"/>
    <s v=""/>
  </r>
  <r>
    <s v="M010"/>
    <s v="Dhanush Varma"/>
    <n v="37"/>
    <s v="Male"/>
    <x v="1"/>
    <d v="2023-10-03T00:00:00"/>
    <d v="2023-12-20T00:00:00"/>
    <n v="1200"/>
    <n v="29"/>
    <x v="3"/>
    <s v="Ranbir Karan"/>
    <n v="2"/>
    <x v="0"/>
    <n v="2400"/>
    <s v=""/>
  </r>
  <r>
    <s v="M011"/>
    <s v="Ishaan Goyal"/>
    <n v="48"/>
    <s v="Female"/>
    <x v="1"/>
    <d v="2024-01-06T00:00:00"/>
    <d v="2024-06-16T00:00:00"/>
    <n v="1200"/>
    <n v="13"/>
    <x v="0"/>
    <s v="Rati Sanghvi"/>
    <n v="5"/>
    <x v="0"/>
    <n v="6000"/>
    <s v=""/>
  </r>
  <r>
    <s v="M012"/>
    <s v="Mahika Ravi"/>
    <n v="36"/>
    <s v="Male"/>
    <x v="1"/>
    <d v="2023-08-16T00:00:00"/>
    <d v="2024-10-03T00:00:00"/>
    <n v="1200"/>
    <n v="19"/>
    <x v="4"/>
    <s v="Ishaan Kashyap"/>
    <n v="13"/>
    <x v="0"/>
    <n v="15600"/>
    <s v=""/>
  </r>
  <r>
    <s v="M013"/>
    <s v="Purab Reddy"/>
    <n v="48"/>
    <s v="Female"/>
    <x v="3"/>
    <d v="2024-09-21T00:00:00"/>
    <d v="2024-12-15T00:00:00"/>
    <n v="1800"/>
    <n v="22"/>
    <x v="4"/>
    <m/>
    <n v="2"/>
    <x v="1"/>
    <n v="3600"/>
    <s v=""/>
  </r>
  <r>
    <s v="M014"/>
    <s v="Tiya Soni"/>
    <n v="39"/>
    <s v="Male"/>
    <x v="1"/>
    <d v="2023-05-19T00:00:00"/>
    <d v="2023-11-12T00:00:00"/>
    <n v="1200"/>
    <n v="28"/>
    <x v="3"/>
    <m/>
    <n v="5"/>
    <x v="1"/>
    <n v="6000"/>
    <s v=""/>
  </r>
  <r>
    <s v="M015"/>
    <s v="Zara Dugar"/>
    <n v="44"/>
    <s v="Female"/>
    <x v="0"/>
    <d v="2024-02-11T00:00:00"/>
    <d v="2024-09-05T00:00:00"/>
    <n v="800"/>
    <n v="8"/>
    <x v="2"/>
    <m/>
    <n v="6"/>
    <x v="1"/>
    <n v="4800"/>
    <s v=""/>
  </r>
  <r>
    <s v="M016"/>
    <s v="Lakshit Mander"/>
    <n v="39"/>
    <s v="Male"/>
    <x v="2"/>
    <d v="2025-02-14T00:00:00"/>
    <d v="2025-03-16T00:00:00"/>
    <n v="2500"/>
    <n v="14"/>
    <x v="4"/>
    <m/>
    <n v="1"/>
    <x v="1"/>
    <n v="2500"/>
    <s v=""/>
  </r>
  <r>
    <s v="M017"/>
    <s v="Neysa Krish"/>
    <n v="35"/>
    <s v="Male"/>
    <x v="1"/>
    <d v="2024-02-07T00:00:00"/>
    <d v="2025-01-28T00:00:00"/>
    <n v="1200"/>
    <n v="25"/>
    <x v="2"/>
    <m/>
    <n v="11"/>
    <x v="1"/>
    <n v="13200"/>
    <s v=""/>
  </r>
  <r>
    <s v="M018"/>
    <s v="Prerak Boase"/>
    <n v="56"/>
    <s v="Female"/>
    <x v="2"/>
    <d v="2023-10-14T00:00:00"/>
    <d v="2024-12-23T00:00:00"/>
    <n v="2500"/>
    <n v="13"/>
    <x v="5"/>
    <m/>
    <n v="14"/>
    <x v="1"/>
    <n v="35000"/>
    <s v=""/>
  </r>
  <r>
    <s v="M019"/>
    <s v="Siya Master"/>
    <n v="27"/>
    <s v="Female"/>
    <x v="0"/>
    <d v="2024-03-03T00:00:00"/>
    <d v="2025-01-07T00:00:00"/>
    <n v="800"/>
    <n v="26"/>
    <x v="3"/>
    <m/>
    <n v="10"/>
    <x v="1"/>
    <n v="8000"/>
    <s v=""/>
  </r>
  <r>
    <s v="M020"/>
    <s v="Madhup Biswas"/>
    <n v="28"/>
    <s v="Male"/>
    <x v="2"/>
    <d v="2024-05-05T00:00:00"/>
    <d v="2024-11-12T00:00:00"/>
    <n v="2500"/>
    <n v="21"/>
    <x v="3"/>
    <s v="Tanya Bajwa"/>
    <n v="6"/>
    <x v="0"/>
    <n v="15000"/>
    <s v=""/>
  </r>
  <r>
    <s v="M021"/>
    <s v="Indrans Ratti"/>
    <n v="57"/>
    <s v="Female"/>
    <x v="3"/>
    <d v="2023-08-08T00:00:00"/>
    <d v="2025-01-17T00:00:00"/>
    <n v="1800"/>
    <n v="19"/>
    <x v="3"/>
    <m/>
    <n v="17"/>
    <x v="1"/>
    <n v="30600"/>
    <s v=""/>
  </r>
  <r>
    <s v="M022"/>
    <s v="Kimaya Balay"/>
    <n v="26"/>
    <s v="Female"/>
    <x v="3"/>
    <d v="2024-01-29T00:00:00"/>
    <d v="2024-11-20T00:00:00"/>
    <n v="1800"/>
    <n v="5"/>
    <x v="0"/>
    <m/>
    <n v="9"/>
    <x v="1"/>
    <n v="16200"/>
    <s v="Low Engagement"/>
  </r>
  <r>
    <s v="M023"/>
    <s v="Eva Dass"/>
    <n v="48"/>
    <s v="Male"/>
    <x v="3"/>
    <d v="2024-06-08T00:00:00"/>
    <d v="2024-06-12T00:00:00"/>
    <n v="1800"/>
    <n v="18"/>
    <x v="5"/>
    <m/>
    <n v="0"/>
    <x v="1"/>
    <n v="0"/>
    <s v=""/>
  </r>
  <r>
    <s v="M024"/>
    <s v="Pihu Wali"/>
    <n v="25"/>
    <s v="Female"/>
    <x v="1"/>
    <d v="2024-05-27T00:00:00"/>
    <d v="2025-03-14T00:00:00"/>
    <n v="1200"/>
    <n v="6"/>
    <x v="0"/>
    <m/>
    <n v="9"/>
    <x v="1"/>
    <n v="10800"/>
    <s v="Low Engagement"/>
  </r>
  <r>
    <s v="M025"/>
    <s v="Tiya Rege"/>
    <n v="53"/>
    <s v="Male"/>
    <x v="3"/>
    <d v="2023-12-26T00:00:00"/>
    <d v="2024-03-21T00:00:00"/>
    <n v="1800"/>
    <n v="17"/>
    <x v="3"/>
    <s v="Adira Brar"/>
    <n v="2"/>
    <x v="0"/>
    <n v="3600"/>
    <s v=""/>
  </r>
  <r>
    <s v="M026"/>
    <s v="Aarav Sen"/>
    <n v="42"/>
    <s v="Female"/>
    <x v="1"/>
    <d v="2025-02-14T00:00:00"/>
    <d v="2025-03-11T00:00:00"/>
    <n v="1200"/>
    <n v="3"/>
    <x v="5"/>
    <m/>
    <n v="0"/>
    <x v="1"/>
    <n v="0"/>
    <s v=""/>
  </r>
  <r>
    <s v="M027"/>
    <s v="Dishani Bera"/>
    <n v="24"/>
    <s v="Male"/>
    <x v="2"/>
    <d v="2025-02-10T00:00:00"/>
    <d v="2025-03-10T00:00:00"/>
    <n v="2500"/>
    <n v="28"/>
    <x v="3"/>
    <m/>
    <n v="0"/>
    <x v="1"/>
    <n v="0"/>
    <s v=""/>
  </r>
  <r>
    <s v="M028"/>
    <s v="Indrans Grover"/>
    <n v="53"/>
    <s v="Male"/>
    <x v="1"/>
    <d v="2024-11-18T00:00:00"/>
    <d v="2024-12-19T00:00:00"/>
    <n v="1200"/>
    <n v="23"/>
    <x v="1"/>
    <m/>
    <n v="1"/>
    <x v="1"/>
    <n v="1200"/>
    <s v=""/>
  </r>
  <r>
    <s v="M029"/>
    <s v="Kismat Edwin"/>
    <n v="29"/>
    <s v="Female"/>
    <x v="2"/>
    <d v="2024-04-19T00:00:00"/>
    <d v="2024-04-26T00:00:00"/>
    <n v="2500"/>
    <n v="8"/>
    <x v="2"/>
    <m/>
    <n v="0"/>
    <x v="1"/>
    <n v="0"/>
    <s v=""/>
  </r>
  <r>
    <s v="M030"/>
    <s v="Taran Vyas"/>
    <n v="31"/>
    <s v="Female"/>
    <x v="2"/>
    <d v="2025-01-10T00:00:00"/>
    <d v="2025-03-29T00:00:00"/>
    <n v="2500"/>
    <n v="23"/>
    <x v="4"/>
    <s v="Nakul Balakrishnan"/>
    <n v="2"/>
    <x v="0"/>
    <n v="5000"/>
    <s v=""/>
  </r>
  <r>
    <s v="M031"/>
    <s v="Jiya Baral"/>
    <n v="52"/>
    <s v="Female"/>
    <x v="0"/>
    <d v="2023-06-11T00:00:00"/>
    <d v="2024-12-30T00:00:00"/>
    <n v="800"/>
    <n v="9"/>
    <x v="5"/>
    <s v="Darshit Sidhu"/>
    <n v="18"/>
    <x v="0"/>
    <n v="14400"/>
    <s v=""/>
  </r>
  <r>
    <s v="M032"/>
    <s v="Gokul Sahni"/>
    <n v="20"/>
    <s v="Male"/>
    <x v="1"/>
    <d v="2024-04-09T00:00:00"/>
    <d v="2024-11-08T00:00:00"/>
    <n v="1200"/>
    <n v="2"/>
    <x v="3"/>
    <m/>
    <n v="7"/>
    <x v="1"/>
    <n v="8400"/>
    <s v="Low Engagement"/>
  </r>
  <r>
    <s v="M033"/>
    <s v="Prerak Lalla"/>
    <n v="22"/>
    <s v="Male"/>
    <x v="0"/>
    <d v="2025-02-11T00:00:00"/>
    <d v="2025-03-24T00:00:00"/>
    <n v="800"/>
    <n v="30"/>
    <x v="3"/>
    <m/>
    <n v="1"/>
    <x v="1"/>
    <n v="800"/>
    <s v=""/>
  </r>
  <r>
    <s v="M034"/>
    <s v="Hrishita Shroff"/>
    <n v="23"/>
    <s v="Male"/>
    <x v="3"/>
    <d v="2024-10-23T00:00:00"/>
    <d v="2025-03-05T00:00:00"/>
    <n v="1800"/>
    <n v="23"/>
    <x v="1"/>
    <s v="Riya Dugal"/>
    <n v="4"/>
    <x v="0"/>
    <n v="7200"/>
    <s v=""/>
  </r>
  <r>
    <s v="M035"/>
    <s v="Oorja Sachar"/>
    <n v="27"/>
    <s v="Female"/>
    <x v="1"/>
    <d v="2024-01-21T00:00:00"/>
    <d v="2024-12-26T00:00:00"/>
    <n v="1200"/>
    <n v="27"/>
    <x v="1"/>
    <m/>
    <n v="11"/>
    <x v="1"/>
    <n v="13200"/>
    <s v=""/>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s v="M001"/>
    <x v="0"/>
    <n v="59"/>
    <x v="0"/>
    <x v="0"/>
    <d v="2023-11-05T00:00:00"/>
    <d v="2024-05-13T00:00:00"/>
    <n v="800"/>
    <n v="25"/>
    <x v="0"/>
    <s v="Hiran Shan"/>
    <n v="6"/>
    <s v="Yes"/>
    <n v="4800"/>
    <s v=""/>
    <x v="0"/>
  </r>
  <r>
    <s v="M002"/>
    <x v="1"/>
    <n v="27"/>
    <x v="0"/>
    <x v="0"/>
    <d v="2025-02-26T00:00:00"/>
    <d v="2025-03-24T00:00:00"/>
    <n v="800"/>
    <n v="20"/>
    <x v="1"/>
    <s v="Kiara Kakar"/>
    <n v="0"/>
    <s v="Yes"/>
    <n v="0"/>
    <s v=""/>
    <x v="1"/>
  </r>
  <r>
    <s v="M003"/>
    <x v="2"/>
    <n v="24"/>
    <x v="0"/>
    <x v="1"/>
    <d v="2023-09-22T00:00:00"/>
    <d v="2024-03-20T00:00:00"/>
    <n v="1200"/>
    <n v="18"/>
    <x v="2"/>
    <s v="Jhanvi Chaudhary"/>
    <n v="6"/>
    <s v="Yes"/>
    <n v="7200"/>
    <s v=""/>
    <x v="1"/>
  </r>
  <r>
    <s v="M004"/>
    <x v="3"/>
    <n v="31"/>
    <x v="1"/>
    <x v="1"/>
    <d v="2024-07-06T00:00:00"/>
    <d v="2024-10-22T00:00:00"/>
    <n v="1200"/>
    <n v="16"/>
    <x v="2"/>
    <s v="Tara Swaminathan"/>
    <n v="3"/>
    <s v="Yes"/>
    <n v="3600"/>
    <s v=""/>
    <x v="2"/>
  </r>
  <r>
    <s v="M005"/>
    <x v="4"/>
    <n v="19"/>
    <x v="0"/>
    <x v="2"/>
    <d v="2023-12-26T00:00:00"/>
    <d v="2024-07-28T00:00:00"/>
    <n v="2500"/>
    <n v="12"/>
    <x v="0"/>
    <s v="Madhav Singh"/>
    <n v="7"/>
    <s v="Yes"/>
    <n v="17500"/>
    <s v=""/>
    <x v="1"/>
  </r>
  <r>
    <s v="M006"/>
    <x v="5"/>
    <n v="40"/>
    <x v="0"/>
    <x v="0"/>
    <d v="2024-01-26T00:00:00"/>
    <d v="2024-04-10T00:00:00"/>
    <n v="800"/>
    <n v="14"/>
    <x v="3"/>
    <s v="Shray Ramakrishnan"/>
    <n v="2"/>
    <s v="Yes"/>
    <n v="1600"/>
    <s v=""/>
    <x v="2"/>
  </r>
  <r>
    <s v="M007"/>
    <x v="6"/>
    <n v="41"/>
    <x v="1"/>
    <x v="0"/>
    <d v="2024-10-23T00:00:00"/>
    <d v="2025-01-20T00:00:00"/>
    <n v="800"/>
    <n v="25"/>
    <x v="1"/>
    <m/>
    <n v="2"/>
    <s v="No"/>
    <n v="1600"/>
    <s v=""/>
    <x v="2"/>
  </r>
  <r>
    <s v="M008"/>
    <x v="7"/>
    <n v="43"/>
    <x v="0"/>
    <x v="3"/>
    <d v="2024-06-07T00:00:00"/>
    <d v="2024-09-28T00:00:00"/>
    <n v="1800"/>
    <n v="28"/>
    <x v="4"/>
    <m/>
    <n v="3"/>
    <s v="No"/>
    <n v="5400"/>
    <s v=""/>
    <x v="2"/>
  </r>
  <r>
    <s v="M009"/>
    <x v="8"/>
    <n v="42"/>
    <x v="0"/>
    <x v="0"/>
    <d v="2024-10-04T00:00:00"/>
    <d v="2024-10-17T00:00:00"/>
    <n v="800"/>
    <n v="3"/>
    <x v="4"/>
    <s v="Nitara Comar"/>
    <n v="0"/>
    <s v="Yes"/>
    <n v="0"/>
    <s v=""/>
    <x v="2"/>
  </r>
  <r>
    <s v="M010"/>
    <x v="9"/>
    <n v="37"/>
    <x v="0"/>
    <x v="1"/>
    <d v="2023-10-03T00:00:00"/>
    <d v="2023-12-20T00:00:00"/>
    <n v="1200"/>
    <n v="29"/>
    <x v="3"/>
    <s v="Ranbir Karan"/>
    <n v="2"/>
    <s v="Yes"/>
    <n v="2400"/>
    <s v=""/>
    <x v="2"/>
  </r>
  <r>
    <s v="M011"/>
    <x v="10"/>
    <n v="48"/>
    <x v="1"/>
    <x v="1"/>
    <d v="2024-01-06T00:00:00"/>
    <d v="2024-06-16T00:00:00"/>
    <n v="1200"/>
    <n v="13"/>
    <x v="0"/>
    <s v="Rati Sanghvi"/>
    <n v="5"/>
    <s v="Yes"/>
    <n v="6000"/>
    <s v=""/>
    <x v="0"/>
  </r>
  <r>
    <s v="M012"/>
    <x v="11"/>
    <n v="36"/>
    <x v="0"/>
    <x v="1"/>
    <d v="2023-08-16T00:00:00"/>
    <d v="2024-10-03T00:00:00"/>
    <n v="1200"/>
    <n v="19"/>
    <x v="4"/>
    <s v="Ishaan Kashyap"/>
    <n v="13"/>
    <s v="Yes"/>
    <n v="15600"/>
    <s v=""/>
    <x v="2"/>
  </r>
  <r>
    <s v="M013"/>
    <x v="12"/>
    <n v="48"/>
    <x v="1"/>
    <x v="3"/>
    <d v="2024-09-21T00:00:00"/>
    <d v="2024-12-15T00:00:00"/>
    <n v="1800"/>
    <n v="22"/>
    <x v="4"/>
    <m/>
    <n v="2"/>
    <s v="No"/>
    <n v="3600"/>
    <s v=""/>
    <x v="0"/>
  </r>
  <r>
    <s v="M014"/>
    <x v="13"/>
    <n v="39"/>
    <x v="0"/>
    <x v="1"/>
    <d v="2023-05-19T00:00:00"/>
    <d v="2023-11-12T00:00:00"/>
    <n v="1200"/>
    <n v="28"/>
    <x v="3"/>
    <m/>
    <n v="5"/>
    <s v="No"/>
    <n v="6000"/>
    <s v=""/>
    <x v="2"/>
  </r>
  <r>
    <s v="M015"/>
    <x v="14"/>
    <n v="44"/>
    <x v="1"/>
    <x v="0"/>
    <d v="2024-02-11T00:00:00"/>
    <d v="2024-09-05T00:00:00"/>
    <n v="800"/>
    <n v="8"/>
    <x v="2"/>
    <m/>
    <n v="6"/>
    <s v="No"/>
    <n v="4800"/>
    <s v=""/>
    <x v="2"/>
  </r>
  <r>
    <s v="M016"/>
    <x v="15"/>
    <n v="39"/>
    <x v="0"/>
    <x v="2"/>
    <d v="2025-02-14T00:00:00"/>
    <d v="2025-03-16T00:00:00"/>
    <n v="2500"/>
    <n v="14"/>
    <x v="4"/>
    <m/>
    <n v="1"/>
    <s v="No"/>
    <n v="2500"/>
    <s v=""/>
    <x v="2"/>
  </r>
  <r>
    <s v="M017"/>
    <x v="16"/>
    <n v="35"/>
    <x v="0"/>
    <x v="1"/>
    <d v="2024-02-07T00:00:00"/>
    <d v="2025-01-28T00:00:00"/>
    <n v="1200"/>
    <n v="25"/>
    <x v="2"/>
    <m/>
    <n v="11"/>
    <s v="No"/>
    <n v="13200"/>
    <s v=""/>
    <x v="2"/>
  </r>
  <r>
    <s v="M018"/>
    <x v="17"/>
    <n v="56"/>
    <x v="1"/>
    <x v="2"/>
    <d v="2023-10-14T00:00:00"/>
    <d v="2024-12-23T00:00:00"/>
    <n v="2500"/>
    <n v="13"/>
    <x v="5"/>
    <m/>
    <n v="14"/>
    <s v="No"/>
    <n v="35000"/>
    <s v=""/>
    <x v="0"/>
  </r>
  <r>
    <s v="M019"/>
    <x v="18"/>
    <n v="27"/>
    <x v="1"/>
    <x v="0"/>
    <d v="2024-03-03T00:00:00"/>
    <d v="2025-01-07T00:00:00"/>
    <n v="800"/>
    <n v="26"/>
    <x v="3"/>
    <m/>
    <n v="10"/>
    <s v="No"/>
    <n v="8000"/>
    <s v=""/>
    <x v="1"/>
  </r>
  <r>
    <s v="M020"/>
    <x v="19"/>
    <n v="28"/>
    <x v="0"/>
    <x v="2"/>
    <d v="2024-05-05T00:00:00"/>
    <d v="2024-11-12T00:00:00"/>
    <n v="2500"/>
    <n v="21"/>
    <x v="3"/>
    <s v="Tanya Bajwa"/>
    <n v="6"/>
    <s v="Yes"/>
    <n v="15000"/>
    <s v=""/>
    <x v="1"/>
  </r>
  <r>
    <s v="M021"/>
    <x v="20"/>
    <n v="57"/>
    <x v="1"/>
    <x v="3"/>
    <d v="2023-08-08T00:00:00"/>
    <d v="2025-01-17T00:00:00"/>
    <n v="1800"/>
    <n v="19"/>
    <x v="3"/>
    <m/>
    <n v="17"/>
    <s v="No"/>
    <n v="30600"/>
    <s v=""/>
    <x v="0"/>
  </r>
  <r>
    <s v="M022"/>
    <x v="21"/>
    <n v="26"/>
    <x v="1"/>
    <x v="3"/>
    <d v="2024-01-29T00:00:00"/>
    <d v="2024-11-20T00:00:00"/>
    <n v="1800"/>
    <n v="5"/>
    <x v="0"/>
    <m/>
    <n v="9"/>
    <s v="No"/>
    <n v="16200"/>
    <s v="Low Engagement"/>
    <x v="1"/>
  </r>
  <r>
    <s v="M023"/>
    <x v="22"/>
    <n v="48"/>
    <x v="0"/>
    <x v="3"/>
    <d v="2024-06-08T00:00:00"/>
    <d v="2024-06-12T00:00:00"/>
    <n v="1800"/>
    <n v="18"/>
    <x v="5"/>
    <m/>
    <n v="0"/>
    <s v="No"/>
    <n v="0"/>
    <s v=""/>
    <x v="0"/>
  </r>
  <r>
    <s v="M024"/>
    <x v="23"/>
    <n v="25"/>
    <x v="1"/>
    <x v="1"/>
    <d v="2024-05-27T00:00:00"/>
    <d v="2025-03-14T00:00:00"/>
    <n v="1200"/>
    <n v="6"/>
    <x v="0"/>
    <m/>
    <n v="9"/>
    <s v="No"/>
    <n v="10800"/>
    <s v="Low Engagement"/>
    <x v="1"/>
  </r>
  <r>
    <s v="M025"/>
    <x v="24"/>
    <n v="53"/>
    <x v="0"/>
    <x v="3"/>
    <d v="2023-12-26T00:00:00"/>
    <d v="2024-03-21T00:00:00"/>
    <n v="1800"/>
    <n v="17"/>
    <x v="3"/>
    <s v="Adira Brar"/>
    <n v="2"/>
    <s v="Yes"/>
    <n v="3600"/>
    <s v=""/>
    <x v="0"/>
  </r>
  <r>
    <s v="M026"/>
    <x v="25"/>
    <n v="42"/>
    <x v="1"/>
    <x v="1"/>
    <d v="2025-02-14T00:00:00"/>
    <d v="2025-03-11T00:00:00"/>
    <n v="1200"/>
    <n v="3"/>
    <x v="5"/>
    <m/>
    <n v="0"/>
    <s v="No"/>
    <n v="0"/>
    <s v=""/>
    <x v="2"/>
  </r>
  <r>
    <s v="M027"/>
    <x v="26"/>
    <n v="24"/>
    <x v="0"/>
    <x v="2"/>
    <d v="2025-02-10T00:00:00"/>
    <d v="2025-03-10T00:00:00"/>
    <n v="2500"/>
    <n v="28"/>
    <x v="3"/>
    <m/>
    <n v="0"/>
    <s v="No"/>
    <n v="0"/>
    <s v=""/>
    <x v="1"/>
  </r>
  <r>
    <s v="M028"/>
    <x v="27"/>
    <n v="53"/>
    <x v="0"/>
    <x v="1"/>
    <d v="2024-11-18T00:00:00"/>
    <d v="2024-12-19T00:00:00"/>
    <n v="1200"/>
    <n v="23"/>
    <x v="1"/>
    <m/>
    <n v="1"/>
    <s v="No"/>
    <n v="1200"/>
    <s v=""/>
    <x v="0"/>
  </r>
  <r>
    <s v="M029"/>
    <x v="28"/>
    <n v="29"/>
    <x v="1"/>
    <x v="2"/>
    <d v="2024-04-19T00:00:00"/>
    <d v="2024-04-26T00:00:00"/>
    <n v="2500"/>
    <n v="8"/>
    <x v="2"/>
    <m/>
    <n v="0"/>
    <s v="No"/>
    <n v="0"/>
    <s v=""/>
    <x v="1"/>
  </r>
  <r>
    <s v="M030"/>
    <x v="29"/>
    <n v="31"/>
    <x v="1"/>
    <x v="2"/>
    <d v="2025-01-10T00:00:00"/>
    <d v="2025-03-29T00:00:00"/>
    <n v="2500"/>
    <n v="23"/>
    <x v="4"/>
    <s v="Nakul Balakrishnan"/>
    <n v="2"/>
    <s v="Yes"/>
    <n v="5000"/>
    <s v=""/>
    <x v="2"/>
  </r>
  <r>
    <s v="M031"/>
    <x v="30"/>
    <n v="52"/>
    <x v="1"/>
    <x v="0"/>
    <d v="2023-06-11T00:00:00"/>
    <d v="2024-12-30T00:00:00"/>
    <n v="800"/>
    <n v="9"/>
    <x v="5"/>
    <s v="Darshit Sidhu"/>
    <n v="18"/>
    <s v="Yes"/>
    <n v="14400"/>
    <s v=""/>
    <x v="0"/>
  </r>
  <r>
    <s v="M032"/>
    <x v="31"/>
    <n v="20"/>
    <x v="0"/>
    <x v="1"/>
    <d v="2024-04-09T00:00:00"/>
    <d v="2024-11-08T00:00:00"/>
    <n v="1200"/>
    <n v="2"/>
    <x v="3"/>
    <m/>
    <n v="7"/>
    <s v="No"/>
    <n v="8400"/>
    <s v="Low Engagement"/>
    <x v="1"/>
  </r>
  <r>
    <s v="M033"/>
    <x v="32"/>
    <n v="22"/>
    <x v="0"/>
    <x v="0"/>
    <d v="2025-02-11T00:00:00"/>
    <d v="2025-03-24T00:00:00"/>
    <n v="800"/>
    <n v="30"/>
    <x v="3"/>
    <m/>
    <n v="1"/>
    <s v="No"/>
    <n v="800"/>
    <s v=""/>
    <x v="1"/>
  </r>
  <r>
    <s v="M034"/>
    <x v="33"/>
    <n v="23"/>
    <x v="0"/>
    <x v="3"/>
    <d v="2024-10-23T00:00:00"/>
    <d v="2025-03-05T00:00:00"/>
    <n v="1800"/>
    <n v="23"/>
    <x v="1"/>
    <s v="Riya Dugal"/>
    <n v="4"/>
    <s v="Yes"/>
    <n v="7200"/>
    <s v=""/>
    <x v="1"/>
  </r>
  <r>
    <s v="M035"/>
    <x v="34"/>
    <n v="27"/>
    <x v="1"/>
    <x v="1"/>
    <d v="2024-01-21T00:00:00"/>
    <d v="2024-12-26T00:00:00"/>
    <n v="1200"/>
    <n v="27"/>
    <x v="1"/>
    <m/>
    <n v="11"/>
    <s v="No"/>
    <n v="13200"/>
    <s v=""/>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BEAA90-FC5D-4199-B4B3-8EA6C0D71BD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6:B49" firstHeaderRow="1" firstDataRow="1" firstDataCol="1"/>
  <pivotFields count="13">
    <pivotField showAll="0"/>
    <pivotField showAll="0"/>
    <pivotField showAll="0"/>
    <pivotField showAll="0"/>
    <pivotField showAll="0"/>
    <pivotField numFmtId="164" showAll="0"/>
    <pivotField numFmtId="164" showAll="0"/>
    <pivotField dataField="1" showAll="0"/>
    <pivotField showAll="0"/>
    <pivotField showAll="0"/>
    <pivotField showAll="0"/>
    <pivotField showAll="0"/>
    <pivotField axis="axisRow" showAll="0">
      <items count="3">
        <item x="1"/>
        <item x="0"/>
        <item t="default"/>
      </items>
    </pivotField>
  </pivotFields>
  <rowFields count="1">
    <field x="12"/>
  </rowFields>
  <rowItems count="3">
    <i>
      <x/>
    </i>
    <i>
      <x v="1"/>
    </i>
    <i t="grand">
      <x/>
    </i>
  </rowItems>
  <colItems count="1">
    <i/>
  </colItems>
  <dataFields count="1">
    <dataField name="Average of Monthly_Fee" fld="7" subtotal="average" baseField="12" baseItem="0"/>
  </dataFields>
  <formats count="2">
    <format dxfId="72">
      <pivotArea collapsedLevelsAreSubtotals="1" fieldPosition="0">
        <references count="1">
          <reference field="12" count="1">
            <x v="1"/>
          </reference>
        </references>
      </pivotArea>
    </format>
    <format dxfId="73">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6341D2-3C6D-4654-BE1C-C7708B5B6C47}"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6:G53" firstHeaderRow="1" firstDataRow="1" firstDataCol="1"/>
  <pivotFields count="14">
    <pivotField showAll="0"/>
    <pivotField showAll="0"/>
    <pivotField showAll="0"/>
    <pivotField showAll="0"/>
    <pivotField showAll="0"/>
    <pivotField numFmtId="164" showAll="0"/>
    <pivotField numFmtId="164" showAll="0"/>
    <pivotField showAll="0"/>
    <pivotField showAll="0"/>
    <pivotField axis="axisRow" showAll="0">
      <items count="7">
        <item x="0"/>
        <item x="5"/>
        <item x="2"/>
        <item x="4"/>
        <item x="3"/>
        <item x="1"/>
        <item t="default"/>
      </items>
    </pivotField>
    <pivotField showAll="0"/>
    <pivotField showAll="0"/>
    <pivotField showAll="0"/>
    <pivotField dataField="1" showAll="0"/>
  </pivotFields>
  <rowFields count="1">
    <field x="9"/>
  </rowFields>
  <rowItems count="7">
    <i>
      <x/>
    </i>
    <i>
      <x v="1"/>
    </i>
    <i>
      <x v="2"/>
    </i>
    <i>
      <x v="3"/>
    </i>
    <i>
      <x v="4"/>
    </i>
    <i>
      <x v="5"/>
    </i>
    <i t="grand">
      <x/>
    </i>
  </rowItems>
  <colItems count="1">
    <i/>
  </colItems>
  <dataFields count="1">
    <dataField name="Sum of Total_Revenu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40D6AB-B7A5-4FFC-B49D-5737FB5D44CD}"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6:C51" firstHeaderRow="1" firstDataRow="1" firstDataCol="1"/>
  <pivotFields count="14">
    <pivotField showAll="0"/>
    <pivotField axis="axisRow" showAll="0">
      <items count="36">
        <item x="25"/>
        <item x="0"/>
        <item x="2"/>
        <item x="9"/>
        <item x="26"/>
        <item x="5"/>
        <item x="22"/>
        <item x="31"/>
        <item x="33"/>
        <item x="27"/>
        <item x="20"/>
        <item x="10"/>
        <item x="30"/>
        <item x="8"/>
        <item x="21"/>
        <item x="28"/>
        <item x="15"/>
        <item x="19"/>
        <item x="3"/>
        <item x="11"/>
        <item x="16"/>
        <item x="34"/>
        <item x="1"/>
        <item x="23"/>
        <item x="17"/>
        <item x="32"/>
        <item x="12"/>
        <item x="4"/>
        <item x="18"/>
        <item x="29"/>
        <item x="24"/>
        <item x="13"/>
        <item x="7"/>
        <item x="6"/>
        <item x="14"/>
        <item t="default"/>
      </items>
    </pivotField>
    <pivotField showAll="0"/>
    <pivotField showAll="0"/>
    <pivotField axis="axisRow" showAll="0">
      <items count="5">
        <item sd="0" x="0"/>
        <item sd="0" x="2"/>
        <item sd="0" x="3"/>
        <item sd="0" x="1"/>
        <item t="default" sd="0"/>
      </items>
    </pivotField>
    <pivotField numFmtId="164" showAll="0"/>
    <pivotField numFmtId="164" showAll="0"/>
    <pivotField showAll="0"/>
    <pivotField showAll="0"/>
    <pivotField showAll="0"/>
    <pivotField showAll="0"/>
    <pivotField showAll="0"/>
    <pivotField showAll="0"/>
    <pivotField dataField="1" showAll="0"/>
  </pivotFields>
  <rowFields count="2">
    <field x="4"/>
    <field x="1"/>
  </rowFields>
  <rowItems count="5">
    <i>
      <x/>
    </i>
    <i>
      <x v="1"/>
    </i>
    <i>
      <x v="2"/>
    </i>
    <i>
      <x v="3"/>
    </i>
    <i t="grand">
      <x/>
    </i>
  </rowItems>
  <colItems count="1">
    <i/>
  </colItems>
  <dataFields count="1">
    <dataField name="Sum of Total_Revenu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48ABA8-D8C1-4C17-8B40-7C5C9485F03A}"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5:T18" firstHeaderRow="1" firstDataRow="1" firstDataCol="1"/>
  <pivotFields count="15">
    <pivotField showAll="0"/>
    <pivotField showAll="0"/>
    <pivotField showAll="0"/>
    <pivotField showAll="0"/>
    <pivotField axis="axisRow" showAll="0">
      <items count="5">
        <item x="0"/>
        <item x="2"/>
        <item x="3"/>
        <item x="1"/>
        <item t="default"/>
      </items>
    </pivotField>
    <pivotField numFmtId="164" showAll="0"/>
    <pivotField numFmtId="164" showAll="0"/>
    <pivotField showAll="0"/>
    <pivotField showAll="0"/>
    <pivotField showAll="0"/>
    <pivotField showAll="0"/>
    <pivotField showAll="0"/>
    <pivotField axis="axisRow" showAll="0">
      <items count="3">
        <item x="1"/>
        <item x="0"/>
        <item t="default"/>
      </items>
    </pivotField>
    <pivotField dataField="1" showAll="0"/>
    <pivotField showAll="0"/>
  </pivotFields>
  <rowFields count="2">
    <field x="4"/>
    <field x="12"/>
  </rowFields>
  <rowItems count="13">
    <i>
      <x/>
    </i>
    <i r="1">
      <x/>
    </i>
    <i r="1">
      <x v="1"/>
    </i>
    <i>
      <x v="1"/>
    </i>
    <i r="1">
      <x/>
    </i>
    <i r="1">
      <x v="1"/>
    </i>
    <i>
      <x v="2"/>
    </i>
    <i r="1">
      <x/>
    </i>
    <i r="1">
      <x v="1"/>
    </i>
    <i>
      <x v="3"/>
    </i>
    <i r="1">
      <x/>
    </i>
    <i r="1">
      <x v="1"/>
    </i>
    <i t="grand">
      <x/>
    </i>
  </rowItems>
  <colItems count="1">
    <i/>
  </colItems>
  <dataFields count="1">
    <dataField name="Average of Total_Revenue" fld="13"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D602C1-3444-4B81-98DD-6EA39D6AEE9F}"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5:C9" firstHeaderRow="1" firstDataRow="1" firstDataCol="1"/>
  <pivotFields count="15">
    <pivotField showAll="0"/>
    <pivotField showAll="0"/>
    <pivotField showAll="0"/>
    <pivotField showAll="0"/>
    <pivotField axis="axisRow" showAll="0">
      <items count="5">
        <item h="1" x="0"/>
        <item x="2"/>
        <item x="3"/>
        <item x="1"/>
        <item t="default"/>
      </items>
    </pivotField>
    <pivotField numFmtId="164" showAll="0"/>
    <pivotField numFmtId="164" showAll="0"/>
    <pivotField showAll="0"/>
    <pivotField showAll="0"/>
    <pivotField axis="axisRow" showAll="0">
      <items count="7">
        <item h="1" x="0"/>
        <item h="1" x="5"/>
        <item x="2"/>
        <item h="1" x="4"/>
        <item h="1" x="3"/>
        <item h="1" x="1"/>
        <item t="default"/>
      </items>
    </pivotField>
    <pivotField showAll="0"/>
    <pivotField showAll="0"/>
    <pivotField axis="axisRow" showAll="0">
      <items count="3">
        <item h="1" x="1"/>
        <item x="0"/>
        <item t="default"/>
      </items>
    </pivotField>
    <pivotField dataField="1" showAll="0"/>
    <pivotField showAll="0"/>
  </pivotFields>
  <rowFields count="3">
    <field x="9"/>
    <field x="4"/>
    <field x="12"/>
  </rowFields>
  <rowItems count="4">
    <i>
      <x v="2"/>
    </i>
    <i r="1">
      <x v="3"/>
    </i>
    <i r="2">
      <x v="1"/>
    </i>
    <i t="grand">
      <x/>
    </i>
  </rowItems>
  <colItems count="1">
    <i/>
  </colItems>
  <dataFields count="1">
    <dataField name="Sum of Total_Revenue" fld="13"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21B74E-85F2-435F-8BD9-BBECC48F23D8}" name="PivotTable1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4:D52" firstHeaderRow="1" firstDataRow="2" firstDataCol="1"/>
  <pivotFields count="16">
    <pivotField showAll="0"/>
    <pivotField dataField="1" showAll="0">
      <items count="36">
        <item x="25"/>
        <item x="0"/>
        <item x="2"/>
        <item x="9"/>
        <item x="26"/>
        <item x="5"/>
        <item x="22"/>
        <item x="31"/>
        <item x="33"/>
        <item x="27"/>
        <item x="20"/>
        <item x="10"/>
        <item x="30"/>
        <item x="8"/>
        <item x="21"/>
        <item x="28"/>
        <item x="15"/>
        <item x="19"/>
        <item x="3"/>
        <item x="11"/>
        <item x="16"/>
        <item x="34"/>
        <item x="1"/>
        <item x="23"/>
        <item x="17"/>
        <item x="32"/>
        <item x="12"/>
        <item x="4"/>
        <item x="18"/>
        <item x="29"/>
        <item x="24"/>
        <item x="13"/>
        <item x="7"/>
        <item x="6"/>
        <item x="14"/>
        <item t="default"/>
      </items>
    </pivotField>
    <pivotField showAll="0"/>
    <pivotField axis="axisCol" showAll="0">
      <items count="3">
        <item x="1"/>
        <item x="0"/>
        <item t="default"/>
      </items>
    </pivotField>
    <pivotField showAll="0"/>
    <pivotField numFmtId="164" showAll="0"/>
    <pivotField numFmtId="164" showAll="0"/>
    <pivotField showAll="0"/>
    <pivotField showAll="0"/>
    <pivotField axis="axisRow" showAll="0">
      <items count="7">
        <item x="0"/>
        <item x="5"/>
        <item x="2"/>
        <item x="4"/>
        <item x="3"/>
        <item x="1"/>
        <item t="default"/>
      </items>
    </pivotField>
    <pivotField showAll="0"/>
    <pivotField showAll="0"/>
    <pivotField showAll="0"/>
    <pivotField showAll="0"/>
    <pivotField showAll="0"/>
    <pivotField showAll="0"/>
  </pivotFields>
  <rowFields count="1">
    <field x="9"/>
  </rowFields>
  <rowItems count="7">
    <i>
      <x/>
    </i>
    <i>
      <x v="1"/>
    </i>
    <i>
      <x v="2"/>
    </i>
    <i>
      <x v="3"/>
    </i>
    <i>
      <x v="4"/>
    </i>
    <i>
      <x v="5"/>
    </i>
    <i t="grand">
      <x/>
    </i>
  </rowItems>
  <colFields count="1">
    <field x="3"/>
  </colFields>
  <colItems count="3">
    <i>
      <x/>
    </i>
    <i>
      <x v="1"/>
    </i>
    <i t="grand">
      <x/>
    </i>
  </colItems>
  <dataFields count="1">
    <dataField name="Count of Full_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B5A374-BEBF-4E4E-BAED-870ED29A67A6}" name="PivotTable1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4:K50" firstHeaderRow="1" firstDataRow="2" firstDataCol="1"/>
  <pivotFields count="16">
    <pivotField showAll="0"/>
    <pivotField dataField="1" showAll="0">
      <items count="36">
        <item x="25"/>
        <item x="0"/>
        <item x="2"/>
        <item x="9"/>
        <item x="26"/>
        <item x="5"/>
        <item x="22"/>
        <item x="31"/>
        <item x="33"/>
        <item x="27"/>
        <item x="20"/>
        <item x="10"/>
        <item x="30"/>
        <item x="8"/>
        <item x="21"/>
        <item x="28"/>
        <item x="15"/>
        <item x="19"/>
        <item x="3"/>
        <item x="11"/>
        <item x="16"/>
        <item x="34"/>
        <item x="1"/>
        <item x="23"/>
        <item x="17"/>
        <item x="32"/>
        <item x="12"/>
        <item x="4"/>
        <item x="18"/>
        <item x="29"/>
        <item x="24"/>
        <item x="13"/>
        <item x="7"/>
        <item x="6"/>
        <item x="14"/>
        <item t="default"/>
      </items>
    </pivotField>
    <pivotField showAll="0"/>
    <pivotField showAll="0"/>
    <pivotField axis="axisRow" showAll="0">
      <items count="5">
        <item x="0"/>
        <item x="2"/>
        <item x="3"/>
        <item x="1"/>
        <item t="default"/>
      </items>
    </pivotField>
    <pivotField numFmtId="164" showAll="0"/>
    <pivotField numFmtId="164" showAll="0"/>
    <pivotField showAll="0"/>
    <pivotField showAll="0"/>
    <pivotField showAll="0"/>
    <pivotField showAll="0"/>
    <pivotField showAll="0"/>
    <pivotField showAll="0"/>
    <pivotField showAll="0"/>
    <pivotField showAll="0"/>
    <pivotField axis="axisCol" showAll="0">
      <items count="4">
        <item x="2"/>
        <item x="0"/>
        <item x="1"/>
        <item t="default"/>
      </items>
    </pivotField>
  </pivotFields>
  <rowFields count="1">
    <field x="4"/>
  </rowFields>
  <rowItems count="5">
    <i>
      <x/>
    </i>
    <i>
      <x v="1"/>
    </i>
    <i>
      <x v="2"/>
    </i>
    <i>
      <x v="3"/>
    </i>
    <i t="grand">
      <x/>
    </i>
  </rowItems>
  <colFields count="1">
    <field x="15"/>
  </colFields>
  <colItems count="4">
    <i>
      <x/>
    </i>
    <i>
      <x v="1"/>
    </i>
    <i>
      <x v="2"/>
    </i>
    <i t="grand">
      <x/>
    </i>
  </colItems>
  <dataFields count="1">
    <dataField name="Count of Full_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ship_Type" xr10:uid="{49A5389A-C7C4-49BD-A6B7-906CA27D90EB}" sourceName="Membership_Type">
  <pivotTables>
    <pivotTable tabId="5" name="PivotTable14"/>
  </pivotTables>
  <data>
    <tabular pivotCacheId="1903205782">
      <items count="4">
        <i x="1" s="1"/>
        <i x="0" nd="1"/>
        <i x="2"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6C5B02C-6E69-4AFB-A4EE-629578B719C1}" sourceName="City">
  <pivotTables>
    <pivotTable tabId="5" name="PivotTable14"/>
  </pivotTables>
  <data>
    <tabular pivotCacheId="1903205782">
      <items count="6">
        <i x="0"/>
        <i x="2" s="1"/>
        <i x="4"/>
        <i x="3"/>
        <i x="1"/>
        <i x="5"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ed" xr10:uid="{BD18EC74-7D60-4A20-B547-B6C8A5CC825C}" sourceName="Referred">
  <pivotTables>
    <pivotTable tabId="5" name="PivotTable14"/>
  </pivotTables>
  <data>
    <tabular pivotCacheId="1903205782">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mbership_Type" xr10:uid="{83B4F2F0-5DF6-4146-A3B7-CD6C0173FE1F}" cache="Slicer_Membership_Type" caption="Membership_Type" rowHeight="234950"/>
  <slicer name="City" xr10:uid="{EDADED37-5958-4F53-95AA-7E73474A5F8E}" cache="Slicer_City" caption="City" rowHeight="234950"/>
  <slicer name="Referred" xr10:uid="{44FE7328-2F22-4648-AF43-172A67DC21F7}" cache="Slicer_Referred" caption="Referre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030B62F-37A1-4491-8D33-72D64B6198C1}" name="Table1345" displayName="Table1345" ref="A1:P36" totalsRowShown="0" headerRowDxfId="87" dataDxfId="86" headerRowBorderDxfId="84" tableBorderDxfId="85">
  <autoFilter ref="A1:P36" xr:uid="{E030B62F-37A1-4491-8D33-72D64B6198C1}"/>
  <tableColumns count="16">
    <tableColumn id="1" xr3:uid="{6199DD7C-49F3-400F-BEEC-753743429FA0}" name="S.No." dataDxfId="83"/>
    <tableColumn id="2" xr3:uid="{6F45BACC-FF73-43FB-8FBE-E2F613FBB51F}" name="Full_Name" dataDxfId="82"/>
    <tableColumn id="3" xr3:uid="{38D62591-8FBE-4325-B4B6-090A668CF8A6}" name="Age" dataDxfId="60"/>
    <tableColumn id="4" xr3:uid="{5AA159DE-14F5-47B8-9BD2-339338BD82E9}" name="Gender" dataDxfId="81"/>
    <tableColumn id="5" xr3:uid="{4E42D575-BAA1-4FE7-8C1F-2706CFFE8E37}" name="Membership_Type" dataDxfId="80"/>
    <tableColumn id="6" xr3:uid="{F44F5E1C-64FD-45BC-8A8D-CFCCE11576D9}" name="Start_Date" dataDxfId="59"/>
    <tableColumn id="7" xr3:uid="{9EC4E96F-2538-4705-B36D-8EDA46711D94}" name="End_Date" dataDxfId="58"/>
    <tableColumn id="8" xr3:uid="{9DCF8CA5-FD5E-41CD-A33C-8A180C3A1289}" name="Monthly_Fee" dataDxfId="57"/>
    <tableColumn id="9" xr3:uid="{8CBF28EF-FFB4-4883-BB77-84DC405EFCE8}" name="Attendance" dataDxfId="56"/>
    <tableColumn id="10" xr3:uid="{44C7A508-069E-4BDF-9BB9-83E9F44C2916}" name="City" dataDxfId="79"/>
    <tableColumn id="11" xr3:uid="{8D7492DF-308D-4AD3-AFE2-FC8954B7AAE7}" name="Referred_By"/>
    <tableColumn id="12" xr3:uid="{0712D345-A8AF-4DD1-BC25-7C72E512D15F}" name="Membership_Duration_M" dataDxfId="78">
      <calculatedColumnFormula>INT((Table1345[[#This Row],[End_Date]]-Table1345[[#This Row],[Start_Date]])/30)</calculatedColumnFormula>
    </tableColumn>
    <tableColumn id="13" xr3:uid="{81F2584C-87A0-4BC9-9F7D-E380EDF75C5C}" name="Referred" dataDxfId="77">
      <calculatedColumnFormula>IF(Table1345[[#This Row],[Referred_By]]&lt;&gt;"","Yes","No")</calculatedColumnFormula>
    </tableColumn>
    <tableColumn id="14" xr3:uid="{353E2C4E-9433-4EAE-87B9-8EE3CE718A26}" name="Total_Revenue" dataDxfId="76">
      <calculatedColumnFormula>Table1345[[#This Row],[Monthly_Fee]]*Table1345[[#This Row],[Membership_Duration_M]]</calculatedColumnFormula>
    </tableColumn>
    <tableColumn id="15" xr3:uid="{8E790267-4CD1-4433-9D55-710B482E3EA4}" name="Low_Engagement_Flag" dataDxfId="75">
      <calculatedColumnFormula>IF(AND(Table1345[[#This Row],[Attendance]]&lt;8,Table1345[[#This Row],[Membership_Duration_M]]&gt;=6),"Low Engagement","")</calculatedColumnFormula>
    </tableColumn>
    <tableColumn id="16" xr3:uid="{B699437A-84DF-42BB-A119-27AE02FB3869}" name="Age_Group" dataDxfId="74">
      <calculatedColumnFormula>IF(Table1345[[#This Row],[Age]]&lt;30,"Youth",IF(Table1345[[#This Row],[Age]]&lt;45,"Adult",IF(Table1345[[#This Row],[Age]]&gt;46,"Senior")))</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EE9177B-ADE6-4191-9D49-5F161348E639}" name="Table5" displayName="Table5" ref="B47:M82" totalsRowShown="0" headerRowCellStyle="Normal 3" dataCellStyle="Normal 3">
  <autoFilter ref="B47:M82" xr:uid="{BEE9177B-ADE6-4191-9D49-5F161348E639}"/>
  <tableColumns count="12">
    <tableColumn id="1" xr3:uid="{4CF6CC44-51D2-4362-9F10-376A515A550F}" name="S.No." dataCellStyle="Normal 3"/>
    <tableColumn id="2" xr3:uid="{6F72703E-8599-4795-AB3A-F0645824475B}" name="Full_Name" dataCellStyle="Normal 3"/>
    <tableColumn id="3" xr3:uid="{ABEEB9EA-BBC6-4500-91FB-DAD718B9D5DA}" name="Age" dataDxfId="65" dataCellStyle="Normal 3"/>
    <tableColumn id="4" xr3:uid="{B3F7E285-60F7-44D6-BF5F-C937D0C502E3}" name="Gender" dataCellStyle="Normal 3"/>
    <tableColumn id="5" xr3:uid="{7A6A12DC-F3F9-4308-A42C-E36DAE44CDA1}" name="Membership_Type" dataCellStyle="Normal 3"/>
    <tableColumn id="6" xr3:uid="{D177B646-AAE4-4A2C-B330-E8DAE103C09D}" name="Start_Date" dataDxfId="64" dataCellStyle="Normal 3"/>
    <tableColumn id="7" xr3:uid="{6A4708A8-1FCC-4CFF-8C82-A5BCD1C5FBD7}" name="End_Date" dataDxfId="63" dataCellStyle="Normal 3"/>
    <tableColumn id="8" xr3:uid="{85A0CB06-4B15-4FD9-89F2-B8A5DA37E507}" name="Monthly_Fee" dataDxfId="62" dataCellStyle="Normal 3"/>
    <tableColumn id="9" xr3:uid="{52BCDA9A-252C-4A17-9C20-85E423D13A45}" name="Attendance" dataDxfId="61" dataCellStyle="Normal 3"/>
    <tableColumn id="10" xr3:uid="{535C2FC6-04BA-4FBE-B530-525DAB8DA718}" name="City" dataCellStyle="Normal 3"/>
    <tableColumn id="11" xr3:uid="{4CD95A2E-198E-41A4-B60D-14FFE835BBCE}" name="Referred_By" dataCellStyle="Normal 3"/>
    <tableColumn id="12" xr3:uid="{532A3D89-D374-489D-BBD0-122D18C8F202}" name="Membership_Duration_Months" dataDxfId="66" dataCellStyle="Normal 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BAD33E7-4741-491D-932D-1A7567B1D31D}" name="Table58" displayName="Table58" ref="A5:L40" totalsRowShown="0" headerRowCellStyle="Normal 3" dataCellStyle="Normal 3">
  <autoFilter ref="A5:L40" xr:uid="{ABAD33E7-4741-491D-932D-1A7567B1D31D}"/>
  <tableColumns count="12">
    <tableColumn id="1" xr3:uid="{401EC623-FAB4-4158-8F24-79426A2B63B6}" name="S.No." dataCellStyle="Normal 3"/>
    <tableColumn id="2" xr3:uid="{20A62AB3-B5B4-4824-8D26-35A94EFFFFB5}" name="Full_Name" dataCellStyle="Normal 3"/>
    <tableColumn id="3" xr3:uid="{3E267E47-419B-49DC-9E1B-71BE624C380C}" name="Age" dataDxfId="55" dataCellStyle="Normal 3"/>
    <tableColumn id="4" xr3:uid="{7EC1D61F-076F-4D89-B2BA-89567A7A91E9}" name="Gender" dataCellStyle="Normal 3"/>
    <tableColumn id="5" xr3:uid="{13083C62-C0DF-41E8-BE42-232DEA0F4501}" name="Membership_Type" dataCellStyle="Normal 3"/>
    <tableColumn id="6" xr3:uid="{BDF110D0-BE24-4582-BE5B-24EB4912D2C9}" name="Start_Date" dataDxfId="54" dataCellStyle="Normal 3"/>
    <tableColumn id="7" xr3:uid="{139A8A0F-6B72-4A4D-8BBC-4BC33817FA9B}" name="End_Date" dataDxfId="53" dataCellStyle="Normal 3"/>
    <tableColumn id="8" xr3:uid="{99CD2D6E-C13B-4B3F-9F7C-11EF0A61E740}" name="Monthly_Fee" dataDxfId="52" dataCellStyle="Normal 3"/>
    <tableColumn id="9" xr3:uid="{C5D2E778-C232-4F93-A59D-E54FA137081C}" name="Attendance" dataDxfId="51" dataCellStyle="Normal 3"/>
    <tableColumn id="10" xr3:uid="{AFF44DF0-A560-4097-8E6B-B38F6211E36A}" name="City" dataCellStyle="Normal 3"/>
    <tableColumn id="11" xr3:uid="{1DA654DC-9BBC-484A-B854-7824BDEED577}" name="Referred_By" dataCellStyle="Normal 3"/>
    <tableColumn id="12" xr3:uid="{0108BBDD-E445-48DE-AEF1-EE73C173FCE5}" name="Membership_Duration_Months" dataDxfId="50" dataCellStyle="Normal 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852CE5-FBFD-451A-A483-F2C82E645019}" name="Table13" displayName="Table13" ref="A7:M42" totalsRowShown="0" headerRowDxfId="71" dataDxfId="70" headerRowBorderDxfId="68" tableBorderDxfId="69">
  <autoFilter ref="A7:M42" xr:uid="{95852CE5-FBFD-451A-A483-F2C82E645019}"/>
  <tableColumns count="13">
    <tableColumn id="1" xr3:uid="{D09C80A8-4323-4686-9571-B62E7B90B33C}" name="Full_Name" dataDxfId="49"/>
    <tableColumn id="2" xr3:uid="{5FF4232D-7F8C-48C5-9BAF-D3FBD969B942}" name="Age" dataDxfId="47"/>
    <tableColumn id="3" xr3:uid="{BFAA9A54-22F4-405D-A43F-71A9EBF91C55}" name="Gender" dataDxfId="48"/>
    <tableColumn id="4" xr3:uid="{1309FA41-2CC9-4EE3-B514-5C647BA4913A}" name="Membership_Type" dataDxfId="46"/>
    <tableColumn id="5" xr3:uid="{1804C0EC-FAA2-421E-BCC3-BDE217222141}" name="Start_Date" dataDxfId="45"/>
    <tableColumn id="6" xr3:uid="{2FFD4420-03F2-420C-AD84-DA71736194B6}" name="End_Date" dataDxfId="44"/>
    <tableColumn id="7" xr3:uid="{24D76D50-D87E-4035-B8C7-EA7D33727CF9}" name="Monthly_Fee" dataDxfId="43"/>
    <tableColumn id="8" xr3:uid="{E2F5F72D-4776-405E-8860-17D33F79260B}" name="Attendance" dataDxfId="41"/>
    <tableColumn id="9" xr3:uid="{4593CAC8-8CAA-4E5F-A14C-5AD977F4A9CA}" name="City" dataDxfId="42"/>
    <tableColumn id="10" xr3:uid="{23248ACE-9B00-4D3F-BAFB-9DB98998F674}" name="Referred_By" dataDxfId="67"/>
    <tableColumn id="11" xr3:uid="{F56EA989-F6DE-4914-ABBD-820D8B28C325}" name="Referred"/>
    <tableColumn id="12" xr3:uid="{F834E97E-38F2-449B-8269-790F93218F34}" name="Membership_Duration_Months" dataDxfId="39"/>
    <tableColumn id="13" xr3:uid="{02AAFF45-A9FA-4E23-8412-22839AA84EE5}" name="Total_Revenue" dataDxfId="4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A44B521-8770-4B41-8667-9955D9D3F355}" name="Table8" displayName="Table8" ref="A5:O40" totalsRowShown="0" headerRowDxfId="23" dataDxfId="24" headerRowBorderDxfId="37" tableBorderDxfId="38" totalsRowBorderDxfId="36">
  <autoFilter ref="A5:O40" xr:uid="{2A44B521-8770-4B41-8667-9955D9D3F355}"/>
  <tableColumns count="15">
    <tableColumn id="1" xr3:uid="{6A7F4DA6-C3D8-4D91-ADD3-A29BF3E75009}" name="S.No." dataDxfId="35"/>
    <tableColumn id="2" xr3:uid="{2BA07133-D78B-4C3E-93F6-F40C585A7777}" name="Full_Name" dataDxfId="34"/>
    <tableColumn id="3" xr3:uid="{81B5F44E-2DBB-48AB-80B0-D6FE5957F698}" name="Age" dataDxfId="33"/>
    <tableColumn id="4" xr3:uid="{39DE7761-CF6B-4BF1-97EF-A5611DE5BFFC}" name="Gender" dataDxfId="32"/>
    <tableColumn id="5" xr3:uid="{A6B97F73-472A-4EC4-A505-A13B346C68A7}" name="Membership_Type" dataDxfId="31"/>
    <tableColumn id="6" xr3:uid="{EC2F4984-36B9-4031-9CD6-C35DB2F88810}" name="Start_Date" dataDxfId="30"/>
    <tableColumn id="7" xr3:uid="{D7FC5BC6-E1FB-400E-8774-3AA111EA856E}" name="End_Date" dataDxfId="29"/>
    <tableColumn id="8" xr3:uid="{50A9BEA9-5533-4573-9EAA-7D47773602C8}" name="Monthly_Fee" dataDxfId="28"/>
    <tableColumn id="9" xr3:uid="{CFA5E3F7-E1BF-431E-90FC-08E42257CADD}" name="Attendance" dataDxfId="27"/>
    <tableColumn id="10" xr3:uid="{EEC16365-E74C-4B9B-A254-E2C2A0052CD8}" name="City" dataDxfId="26"/>
    <tableColumn id="11" xr3:uid="{AFCBA5DB-001A-46F1-96A5-AAC75A559368}" name="Referred_By" dataDxfId="25"/>
    <tableColumn id="12" xr3:uid="{A979F75D-CBCA-4F2D-BA82-A714CA9B318E}" name="Membership_Duration_M" dataDxfId="22">
      <calculatedColumnFormula>INT((Table8[[#This Row],[End_Date]]-Table8[[#This Row],[Start_Date]])/30)</calculatedColumnFormula>
    </tableColumn>
    <tableColumn id="13" xr3:uid="{FA2CD395-EE18-4A8C-AA3C-CFE0F931B628}" name="Referred" dataDxfId="21">
      <calculatedColumnFormula>IF(Table8[[#This Row],[Referred_By]]&lt;&gt;"","Yes","No")</calculatedColumnFormula>
    </tableColumn>
    <tableColumn id="14" xr3:uid="{B597EF67-1D96-44ED-ABF6-2E116A9F2DFB}" name="Total_Revenue" dataDxfId="20">
      <calculatedColumnFormula>Table8[[#This Row],[Monthly_Fee]]*Table8[[#This Row],[Membership_Duration_M]]</calculatedColumnFormula>
    </tableColumn>
    <tableColumn id="15" xr3:uid="{61F06882-ACD2-45FC-A5EE-82497F66442D}" name="Low_Engagement_Flag" dataDxfId="19">
      <calculatedColumnFormula>IF(AND(Table8[[#This Row],[Attendance]]&lt;8,Table8[[#This Row],[Membership_Duration_M]]&gt;=6),"Low Engagement","")</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7CC0FE6-8897-42A8-BB0E-91B73F93263E}" name="Table134" displayName="Table134" ref="A4:P39" totalsRowShown="0" headerRowDxfId="18" dataDxfId="17" headerRowBorderDxfId="15" tableBorderDxfId="16">
  <autoFilter ref="A4:P39" xr:uid="{77CC0FE6-8897-42A8-BB0E-91B73F93263E}"/>
  <tableColumns count="16">
    <tableColumn id="1" xr3:uid="{42781848-61FF-47D0-AACC-3EF7C702F8A4}" name="S.No." dataDxfId="14"/>
    <tableColumn id="2" xr3:uid="{81255A2D-FE0E-42E0-91F9-2368B2985217}" name="Full_Name" dataDxfId="13"/>
    <tableColumn id="3" xr3:uid="{F3816C95-E8A9-441F-8795-05A2DD63AACE}" name="Age" dataDxfId="0"/>
    <tableColumn id="4" xr3:uid="{C46E68A7-B0B9-4D7B-8B77-876D2AA6DB02}" name="Gender" dataDxfId="12"/>
    <tableColumn id="5" xr3:uid="{980FA802-D5EA-4E89-B15B-C256C3D02549}" name="Membership_Type" dataDxfId="11"/>
    <tableColumn id="6" xr3:uid="{4BD42062-4BA6-4489-88CF-06AC81514977}" name="Start_Date" dataDxfId="10"/>
    <tableColumn id="7" xr3:uid="{EC02D7DF-F53A-42AA-9408-ADD9B7F15360}" name="End_Date" dataDxfId="1"/>
    <tableColumn id="8" xr3:uid="{E078046B-B2C2-4AC5-8C9F-61007F93BC66}" name="Monthly_Fee" dataDxfId="9"/>
    <tableColumn id="9" xr3:uid="{FDD37F27-5AEF-4533-8AC9-B53B43DFC24C}" name="Attendance" dataDxfId="8"/>
    <tableColumn id="10" xr3:uid="{3ECAC967-C752-495C-B9E9-9FDB3F5A215B}" name="City" dataDxfId="7"/>
    <tableColumn id="11" xr3:uid="{BD64C2C7-0F2B-4B5A-AE01-80E1018AFDAB}" name="Referred_By"/>
    <tableColumn id="12" xr3:uid="{F46761DD-9A4A-4DE5-9B32-77853B13A89F}" name="Membership_Duration_M" dataDxfId="6">
      <calculatedColumnFormula>INT((Table134[[#This Row],[End_Date]]-Table134[[#This Row],[Start_Date]])/30)</calculatedColumnFormula>
    </tableColumn>
    <tableColumn id="13" xr3:uid="{4C9AA40C-0B60-40A2-8F99-243F7DD94958}" name="Referred" dataDxfId="5">
      <calculatedColumnFormula>IF(Table134[[#This Row],[Referred_By]]&lt;&gt;"","Yes","No")</calculatedColumnFormula>
    </tableColumn>
    <tableColumn id="14" xr3:uid="{93DC2C93-1DEE-4D6A-B9FB-DD21D3C3BA4D}" name="Total_Revenue" dataDxfId="4">
      <calculatedColumnFormula>Table134[[#This Row],[Monthly_Fee]]*Table134[[#This Row],[Membership_Duration_M]]</calculatedColumnFormula>
    </tableColumn>
    <tableColumn id="15" xr3:uid="{CEAF05A7-CC7C-47EC-8CC1-C074F2C2C96D}" name="Low_Engagement_Flag" dataDxfId="3">
      <calculatedColumnFormula>IF(AND(Table134[[#This Row],[Attendance]]&lt;8,Table134[[#This Row],[Membership_Duration_M]]&gt;=6),"Low Engagement","")</calculatedColumnFormula>
    </tableColumn>
    <tableColumn id="16" xr3:uid="{A9446A39-F50D-4D7F-9A63-1A8318319EB0}" name="Age_Group" dataDxfId="2">
      <calculatedColumnFormula>IF(Table134[[#This Row],[Age]]&lt;30,"Youth",IF(Table134[[#This Row],[Age]]&lt;45,"Adult",IF(Table134[[#This Row],[Age]]&gt;46,"Senior")))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Q1004"/>
  <sheetViews>
    <sheetView tabSelected="1" topLeftCell="A175" zoomScale="70" zoomScaleNormal="70" workbookViewId="0">
      <selection activeCell="G92" sqref="G92"/>
    </sheetView>
  </sheetViews>
  <sheetFormatPr defaultColWidth="14.44140625" defaultRowHeight="15" customHeight="1" x14ac:dyDescent="0.3"/>
  <cols>
    <col min="1" max="1" width="18.33203125" bestFit="1" customWidth="1"/>
    <col min="2" max="2" width="17.44140625" customWidth="1"/>
    <col min="3" max="3" width="18.109375" customWidth="1"/>
    <col min="4" max="4" width="12.6640625" customWidth="1"/>
    <col min="5" max="5" width="11.109375" bestFit="1" customWidth="1"/>
    <col min="6" max="6" width="19.21875" customWidth="1"/>
    <col min="7" max="7" width="18.33203125" bestFit="1" customWidth="1"/>
    <col min="8" max="8" width="16.77734375" bestFit="1" customWidth="1"/>
    <col min="9" max="9" width="14.44140625" customWidth="1"/>
    <col min="10" max="10" width="17" customWidth="1"/>
    <col min="11" max="11" width="14.88671875" customWidth="1"/>
    <col min="12" max="12" width="21.44140625" style="3" customWidth="1"/>
    <col min="13" max="13" width="27.77734375" customWidth="1"/>
    <col min="14" max="14" width="13.6640625" customWidth="1"/>
    <col min="15" max="16" width="19.6640625" customWidth="1"/>
    <col min="17" max="30" width="8.6640625" customWidth="1"/>
  </cols>
  <sheetData>
    <row r="1" spans="1:16" ht="14.4" x14ac:dyDescent="0.3">
      <c r="A1" s="11" t="s">
        <v>107</v>
      </c>
      <c r="B1" s="11" t="s">
        <v>0</v>
      </c>
      <c r="C1" s="36" t="s">
        <v>1</v>
      </c>
      <c r="D1" s="11" t="s">
        <v>2</v>
      </c>
      <c r="E1" s="11" t="s">
        <v>3</v>
      </c>
      <c r="F1" s="36" t="s">
        <v>4</v>
      </c>
      <c r="G1" s="28" t="s">
        <v>5</v>
      </c>
      <c r="H1" s="28" t="s">
        <v>6</v>
      </c>
      <c r="I1" s="28" t="s">
        <v>7</v>
      </c>
      <c r="J1" s="11" t="s">
        <v>8</v>
      </c>
      <c r="K1" s="8" t="s">
        <v>9</v>
      </c>
      <c r="L1" s="8" t="s">
        <v>115</v>
      </c>
      <c r="M1" s="8" t="s">
        <v>108</v>
      </c>
      <c r="N1" s="11" t="s">
        <v>114</v>
      </c>
      <c r="O1" s="12" t="s">
        <v>118</v>
      </c>
      <c r="P1" s="19" t="s">
        <v>120</v>
      </c>
    </row>
    <row r="2" spans="1:16" ht="14.4" x14ac:dyDescent="0.3">
      <c r="A2" t="s">
        <v>10</v>
      </c>
      <c r="B2" t="s">
        <v>11</v>
      </c>
      <c r="C2" s="37">
        <v>59</v>
      </c>
      <c r="D2" s="1" t="s">
        <v>12</v>
      </c>
      <c r="E2" s="1" t="s">
        <v>13</v>
      </c>
      <c r="F2" s="39">
        <v>45235</v>
      </c>
      <c r="G2" s="31">
        <v>45425</v>
      </c>
      <c r="H2" s="29">
        <v>800</v>
      </c>
      <c r="I2" s="29">
        <v>25</v>
      </c>
      <c r="J2" s="1" t="s">
        <v>14</v>
      </c>
      <c r="K2" s="1" t="s">
        <v>15</v>
      </c>
      <c r="L2" s="3">
        <f>INT((Table1345[[#This Row],[End_Date]]-Table1345[[#This Row],[Start_Date]])/30)</f>
        <v>6</v>
      </c>
      <c r="M2" s="3" t="str">
        <f>IF(Table1345[[#This Row],[Referred_By]]&lt;&gt;"","Yes","No")</f>
        <v>Yes</v>
      </c>
      <c r="N2" s="3">
        <f>Table1345[[#This Row],[Monthly_Fee]]*Table1345[[#This Row],[Membership_Duration_M]]</f>
        <v>4800</v>
      </c>
      <c r="O2" t="str">
        <f>IF(AND(Table1345[[#This Row],[Attendance]]&lt;8,Table1345[[#This Row],[Membership_Duration_M]]&gt;=6),"Low Engagement","")</f>
        <v/>
      </c>
      <c r="P2" s="18" t="str">
        <f>IF(Table1345[[#This Row],[Age]]&lt;30,"Youth",IF(Table1345[[#This Row],[Age]]&lt;45,"Adult",IF(Table1345[[#This Row],[Age]]&gt;46,"Senior")))</f>
        <v>Senior</v>
      </c>
    </row>
    <row r="3" spans="1:16" ht="14.4" x14ac:dyDescent="0.3">
      <c r="A3" t="s">
        <v>16</v>
      </c>
      <c r="B3" t="s">
        <v>17</v>
      </c>
      <c r="C3" s="37">
        <v>27</v>
      </c>
      <c r="D3" s="1" t="s">
        <v>12</v>
      </c>
      <c r="E3" s="1" t="s">
        <v>13</v>
      </c>
      <c r="F3" s="39">
        <v>45714</v>
      </c>
      <c r="G3" s="31">
        <v>45740</v>
      </c>
      <c r="H3" s="29">
        <v>800</v>
      </c>
      <c r="I3" s="29">
        <v>20</v>
      </c>
      <c r="J3" s="1" t="s">
        <v>18</v>
      </c>
      <c r="K3" s="1" t="s">
        <v>19</v>
      </c>
      <c r="L3" s="3">
        <f>INT((Table1345[[#This Row],[End_Date]]-Table1345[[#This Row],[Start_Date]])/30)</f>
        <v>0</v>
      </c>
      <c r="M3" s="3" t="str">
        <f>IF(Table1345[[#This Row],[Referred_By]]&lt;&gt;"","Yes","No")</f>
        <v>Yes</v>
      </c>
      <c r="N3" s="3">
        <f>Table1345[[#This Row],[Monthly_Fee]]*Table1345[[#This Row],[Membership_Duration_M]]</f>
        <v>0</v>
      </c>
      <c r="O3" t="str">
        <f>IF(AND(Table1345[[#This Row],[Attendance]]&lt;8,Table1345[[#This Row],[Membership_Duration_M]]&gt;=6),"Low Engagement","")</f>
        <v/>
      </c>
      <c r="P3" s="18" t="str">
        <f>IF(Table1345[[#This Row],[Age]]&lt;30,"Youth",IF(Table1345[[#This Row],[Age]]&lt;45,"Adult",IF(Table1345[[#This Row],[Age]]&gt;46,"Senior")))</f>
        <v>Youth</v>
      </c>
    </row>
    <row r="4" spans="1:16" ht="14.4" x14ac:dyDescent="0.3">
      <c r="A4" t="s">
        <v>20</v>
      </c>
      <c r="B4" t="s">
        <v>21</v>
      </c>
      <c r="C4" s="37">
        <v>24</v>
      </c>
      <c r="D4" s="1" t="s">
        <v>12</v>
      </c>
      <c r="E4" s="1" t="s">
        <v>22</v>
      </c>
      <c r="F4" s="39">
        <v>45191</v>
      </c>
      <c r="G4" s="31">
        <v>45371</v>
      </c>
      <c r="H4" s="29">
        <v>1200</v>
      </c>
      <c r="I4" s="29">
        <v>18</v>
      </c>
      <c r="J4" s="1" t="s">
        <v>23</v>
      </c>
      <c r="K4" s="1" t="s">
        <v>24</v>
      </c>
      <c r="L4" s="3">
        <f>INT((Table1345[[#This Row],[End_Date]]-Table1345[[#This Row],[Start_Date]])/30)</f>
        <v>6</v>
      </c>
      <c r="M4" s="3" t="str">
        <f>IF(Table1345[[#This Row],[Referred_By]]&lt;&gt;"","Yes","No")</f>
        <v>Yes</v>
      </c>
      <c r="N4" s="3">
        <f>Table1345[[#This Row],[Monthly_Fee]]*Table1345[[#This Row],[Membership_Duration_M]]</f>
        <v>7200</v>
      </c>
      <c r="O4" t="str">
        <f>IF(AND(Table1345[[#This Row],[Attendance]]&lt;8,Table1345[[#This Row],[Membership_Duration_M]]&gt;=6),"Low Engagement","")</f>
        <v/>
      </c>
      <c r="P4" s="18" t="str">
        <f>IF(Table1345[[#This Row],[Age]]&lt;30,"Youth",IF(Table1345[[#This Row],[Age]]&lt;45,"Adult",IF(Table1345[[#This Row],[Age]]&gt;46,"Senior")))</f>
        <v>Youth</v>
      </c>
    </row>
    <row r="5" spans="1:16" ht="14.4" x14ac:dyDescent="0.3">
      <c r="A5" t="s">
        <v>25</v>
      </c>
      <c r="B5" t="s">
        <v>26</v>
      </c>
      <c r="C5" s="37">
        <v>31</v>
      </c>
      <c r="D5" s="1" t="s">
        <v>27</v>
      </c>
      <c r="E5" s="1" t="s">
        <v>22</v>
      </c>
      <c r="F5" s="39">
        <v>45479</v>
      </c>
      <c r="G5" s="31">
        <v>45587</v>
      </c>
      <c r="H5" s="29">
        <v>1200</v>
      </c>
      <c r="I5" s="29">
        <v>16</v>
      </c>
      <c r="J5" s="1" t="s">
        <v>23</v>
      </c>
      <c r="K5" s="1" t="s">
        <v>28</v>
      </c>
      <c r="L5" s="3">
        <f>INT((Table1345[[#This Row],[End_Date]]-Table1345[[#This Row],[Start_Date]])/30)</f>
        <v>3</v>
      </c>
      <c r="M5" s="3" t="str">
        <f>IF(Table1345[[#This Row],[Referred_By]]&lt;&gt;"","Yes","No")</f>
        <v>Yes</v>
      </c>
      <c r="N5" s="3">
        <f>Table1345[[#This Row],[Monthly_Fee]]*Table1345[[#This Row],[Membership_Duration_M]]</f>
        <v>3600</v>
      </c>
      <c r="O5" t="str">
        <f>IF(AND(Table1345[[#This Row],[Attendance]]&lt;8,Table1345[[#This Row],[Membership_Duration_M]]&gt;=6),"Low Engagement","")</f>
        <v/>
      </c>
      <c r="P5" s="18" t="str">
        <f>IF(Table1345[[#This Row],[Age]]&lt;30,"Youth",IF(Table1345[[#This Row],[Age]]&lt;45,"Adult",IF(Table1345[[#This Row],[Age]]&gt;46,"Senior")))</f>
        <v>Adult</v>
      </c>
    </row>
    <row r="6" spans="1:16" ht="14.4" x14ac:dyDescent="0.3">
      <c r="A6" t="s">
        <v>29</v>
      </c>
      <c r="B6" t="s">
        <v>30</v>
      </c>
      <c r="C6" s="37">
        <v>19</v>
      </c>
      <c r="D6" s="1" t="s">
        <v>12</v>
      </c>
      <c r="E6" s="1" t="s">
        <v>31</v>
      </c>
      <c r="F6" s="39">
        <v>45286</v>
      </c>
      <c r="G6" s="31">
        <v>45501</v>
      </c>
      <c r="H6" s="29">
        <v>2500</v>
      </c>
      <c r="I6" s="29">
        <v>12</v>
      </c>
      <c r="J6" s="1" t="s">
        <v>14</v>
      </c>
      <c r="K6" s="1" t="s">
        <v>32</v>
      </c>
      <c r="L6" s="3">
        <f>INT((Table1345[[#This Row],[End_Date]]-Table1345[[#This Row],[Start_Date]])/30)</f>
        <v>7</v>
      </c>
      <c r="M6" s="3" t="str">
        <f>IF(Table1345[[#This Row],[Referred_By]]&lt;&gt;"","Yes","No")</f>
        <v>Yes</v>
      </c>
      <c r="N6" s="3">
        <f>Table1345[[#This Row],[Monthly_Fee]]*Table1345[[#This Row],[Membership_Duration_M]]</f>
        <v>17500</v>
      </c>
      <c r="O6" t="str">
        <f>IF(AND(Table1345[[#This Row],[Attendance]]&lt;8,Table1345[[#This Row],[Membership_Duration_M]]&gt;=6),"Low Engagement","")</f>
        <v/>
      </c>
      <c r="P6" s="18" t="str">
        <f>IF(Table1345[[#This Row],[Age]]&lt;30,"Youth",IF(Table1345[[#This Row],[Age]]&lt;45,"Adult",IF(Table1345[[#This Row],[Age]]&gt;46,"Senior")))</f>
        <v>Youth</v>
      </c>
    </row>
    <row r="7" spans="1:16" ht="14.4" x14ac:dyDescent="0.3">
      <c r="A7" t="s">
        <v>33</v>
      </c>
      <c r="B7" t="s">
        <v>34</v>
      </c>
      <c r="C7" s="37">
        <v>40</v>
      </c>
      <c r="D7" s="1" t="s">
        <v>12</v>
      </c>
      <c r="E7" s="1" t="s">
        <v>13</v>
      </c>
      <c r="F7" s="39">
        <v>45317</v>
      </c>
      <c r="G7" s="31">
        <v>45392</v>
      </c>
      <c r="H7" s="29">
        <v>800</v>
      </c>
      <c r="I7" s="29">
        <v>14</v>
      </c>
      <c r="J7" s="1" t="s">
        <v>35</v>
      </c>
      <c r="K7" s="1" t="s">
        <v>36</v>
      </c>
      <c r="L7" s="3">
        <f>INT((Table1345[[#This Row],[End_Date]]-Table1345[[#This Row],[Start_Date]])/30)</f>
        <v>2</v>
      </c>
      <c r="M7" s="3" t="str">
        <f>IF(Table1345[[#This Row],[Referred_By]]&lt;&gt;"","Yes","No")</f>
        <v>Yes</v>
      </c>
      <c r="N7" s="3">
        <f>Table1345[[#This Row],[Monthly_Fee]]*Table1345[[#This Row],[Membership_Duration_M]]</f>
        <v>1600</v>
      </c>
      <c r="O7" t="str">
        <f>IF(AND(Table1345[[#This Row],[Attendance]]&lt;8,Table1345[[#This Row],[Membership_Duration_M]]&gt;=6),"Low Engagement","")</f>
        <v/>
      </c>
      <c r="P7" s="18" t="str">
        <f>IF(Table1345[[#This Row],[Age]]&lt;30,"Youth",IF(Table1345[[#This Row],[Age]]&lt;45,"Adult",IF(Table1345[[#This Row],[Age]]&gt;46,"Senior")))</f>
        <v>Adult</v>
      </c>
    </row>
    <row r="8" spans="1:16" ht="14.4" x14ac:dyDescent="0.3">
      <c r="A8" t="s">
        <v>37</v>
      </c>
      <c r="B8" t="s">
        <v>38</v>
      </c>
      <c r="C8" s="37">
        <v>41</v>
      </c>
      <c r="D8" s="1" t="s">
        <v>27</v>
      </c>
      <c r="E8" s="1" t="s">
        <v>13</v>
      </c>
      <c r="F8" s="39">
        <v>45588</v>
      </c>
      <c r="G8" s="31">
        <v>45677</v>
      </c>
      <c r="H8" s="29">
        <v>800</v>
      </c>
      <c r="I8" s="29">
        <v>25</v>
      </c>
      <c r="J8" s="1" t="s">
        <v>18</v>
      </c>
      <c r="L8" s="3">
        <f>INT((Table1345[[#This Row],[End_Date]]-Table1345[[#This Row],[Start_Date]])/30)</f>
        <v>2</v>
      </c>
      <c r="M8" s="3" t="str">
        <f>IF(Table1345[[#This Row],[Referred_By]]&lt;&gt;"","Yes","No")</f>
        <v>No</v>
      </c>
      <c r="N8" s="3">
        <f>Table1345[[#This Row],[Monthly_Fee]]*Table1345[[#This Row],[Membership_Duration_M]]</f>
        <v>1600</v>
      </c>
      <c r="O8" t="str">
        <f>IF(AND(Table1345[[#This Row],[Attendance]]&lt;8,Table1345[[#This Row],[Membership_Duration_M]]&gt;=6),"Low Engagement","")</f>
        <v/>
      </c>
      <c r="P8" s="18" t="str">
        <f>IF(Table1345[[#This Row],[Age]]&lt;30,"Youth",IF(Table1345[[#This Row],[Age]]&lt;45,"Adult",IF(Table1345[[#This Row],[Age]]&gt;46,"Senior")))</f>
        <v>Adult</v>
      </c>
    </row>
    <row r="9" spans="1:16" ht="14.4" x14ac:dyDescent="0.3">
      <c r="A9" t="s">
        <v>39</v>
      </c>
      <c r="B9" t="s">
        <v>40</v>
      </c>
      <c r="C9" s="37">
        <v>43</v>
      </c>
      <c r="D9" s="1" t="s">
        <v>12</v>
      </c>
      <c r="E9" s="1" t="s">
        <v>41</v>
      </c>
      <c r="F9" s="39">
        <v>45450</v>
      </c>
      <c r="G9" s="31">
        <v>45563</v>
      </c>
      <c r="H9" s="29">
        <v>1800</v>
      </c>
      <c r="I9" s="29">
        <v>28</v>
      </c>
      <c r="J9" s="1" t="s">
        <v>42</v>
      </c>
      <c r="L9" s="3">
        <f>INT((Table1345[[#This Row],[End_Date]]-Table1345[[#This Row],[Start_Date]])/30)</f>
        <v>3</v>
      </c>
      <c r="M9" s="3" t="str">
        <f>IF(Table1345[[#This Row],[Referred_By]]&lt;&gt;"","Yes","No")</f>
        <v>No</v>
      </c>
      <c r="N9" s="3">
        <f>Table1345[[#This Row],[Monthly_Fee]]*Table1345[[#This Row],[Membership_Duration_M]]</f>
        <v>5400</v>
      </c>
      <c r="O9" t="str">
        <f>IF(AND(Table1345[[#This Row],[Attendance]]&lt;8,Table1345[[#This Row],[Membership_Duration_M]]&gt;=6),"Low Engagement","")</f>
        <v/>
      </c>
      <c r="P9" s="18" t="str">
        <f>IF(Table1345[[#This Row],[Age]]&lt;30,"Youth",IF(Table1345[[#This Row],[Age]]&lt;45,"Adult",IF(Table1345[[#This Row],[Age]]&gt;46,"Senior")))</f>
        <v>Adult</v>
      </c>
    </row>
    <row r="10" spans="1:16" ht="14.4" x14ac:dyDescent="0.3">
      <c r="A10" s="1" t="s">
        <v>43</v>
      </c>
      <c r="B10" s="1" t="s">
        <v>44</v>
      </c>
      <c r="C10" s="37">
        <v>42</v>
      </c>
      <c r="D10" s="1" t="s">
        <v>12</v>
      </c>
      <c r="E10" s="1" t="s">
        <v>13</v>
      </c>
      <c r="F10" s="39">
        <v>45569</v>
      </c>
      <c r="G10" s="31">
        <v>45582</v>
      </c>
      <c r="H10" s="29">
        <v>800</v>
      </c>
      <c r="I10" s="29">
        <v>3</v>
      </c>
      <c r="J10" s="1" t="s">
        <v>42</v>
      </c>
      <c r="K10" s="1" t="s">
        <v>45</v>
      </c>
      <c r="L10" s="3">
        <f>INT((Table1345[[#This Row],[End_Date]]-Table1345[[#This Row],[Start_Date]])/30)</f>
        <v>0</v>
      </c>
      <c r="M10" s="3" t="str">
        <f>IF(Table1345[[#This Row],[Referred_By]]&lt;&gt;"","Yes","No")</f>
        <v>Yes</v>
      </c>
      <c r="N10" s="3">
        <f>Table1345[[#This Row],[Monthly_Fee]]*Table1345[[#This Row],[Membership_Duration_M]]</f>
        <v>0</v>
      </c>
      <c r="O10" t="str">
        <f>IF(AND(Table1345[[#This Row],[Attendance]]&lt;8,Table1345[[#This Row],[Membership_Duration_M]]&gt;=6),"Low Engagement","")</f>
        <v/>
      </c>
      <c r="P10" s="18" t="str">
        <f>IF(Table1345[[#This Row],[Age]]&lt;30,"Youth",IF(Table1345[[#This Row],[Age]]&lt;45,"Adult",IF(Table1345[[#This Row],[Age]]&gt;46,"Senior")))</f>
        <v>Adult</v>
      </c>
    </row>
    <row r="11" spans="1:16" ht="14.4" x14ac:dyDescent="0.3">
      <c r="A11" s="1" t="s">
        <v>46</v>
      </c>
      <c r="B11" s="1" t="s">
        <v>47</v>
      </c>
      <c r="C11" s="37">
        <v>37</v>
      </c>
      <c r="D11" s="1" t="s">
        <v>12</v>
      </c>
      <c r="E11" s="1" t="s">
        <v>22</v>
      </c>
      <c r="F11" s="39">
        <v>45202</v>
      </c>
      <c r="G11" s="31">
        <v>45280</v>
      </c>
      <c r="H11" s="29">
        <v>1200</v>
      </c>
      <c r="I11" s="29">
        <v>29</v>
      </c>
      <c r="J11" s="1" t="s">
        <v>35</v>
      </c>
      <c r="K11" s="1" t="s">
        <v>48</v>
      </c>
      <c r="L11" s="3">
        <f>INT((Table1345[[#This Row],[End_Date]]-Table1345[[#This Row],[Start_Date]])/30)</f>
        <v>2</v>
      </c>
      <c r="M11" s="3" t="str">
        <f>IF(Table1345[[#This Row],[Referred_By]]&lt;&gt;"","Yes","No")</f>
        <v>Yes</v>
      </c>
      <c r="N11" s="3">
        <f>Table1345[[#This Row],[Monthly_Fee]]*Table1345[[#This Row],[Membership_Duration_M]]</f>
        <v>2400</v>
      </c>
      <c r="O11" t="str">
        <f>IF(AND(Table1345[[#This Row],[Attendance]]&lt;8,Table1345[[#This Row],[Membership_Duration_M]]&gt;=6),"Low Engagement","")</f>
        <v/>
      </c>
      <c r="P11" s="18" t="str">
        <f>IF(Table1345[[#This Row],[Age]]&lt;30,"Youth",IF(Table1345[[#This Row],[Age]]&lt;45,"Adult",IF(Table1345[[#This Row],[Age]]&gt;46,"Senior")))</f>
        <v>Adult</v>
      </c>
    </row>
    <row r="12" spans="1:16" ht="14.4" x14ac:dyDescent="0.3">
      <c r="A12" s="1" t="s">
        <v>49</v>
      </c>
      <c r="B12" s="1" t="s">
        <v>50</v>
      </c>
      <c r="C12" s="37">
        <v>48</v>
      </c>
      <c r="D12" s="1" t="s">
        <v>27</v>
      </c>
      <c r="E12" s="1" t="s">
        <v>22</v>
      </c>
      <c r="F12" s="39">
        <v>45297</v>
      </c>
      <c r="G12" s="31">
        <v>45459</v>
      </c>
      <c r="H12" s="29">
        <v>1200</v>
      </c>
      <c r="I12" s="29">
        <v>13</v>
      </c>
      <c r="J12" s="1" t="s">
        <v>14</v>
      </c>
      <c r="K12" s="1" t="s">
        <v>51</v>
      </c>
      <c r="L12" s="3">
        <f>INT((Table1345[[#This Row],[End_Date]]-Table1345[[#This Row],[Start_Date]])/30)</f>
        <v>5</v>
      </c>
      <c r="M12" s="3" t="str">
        <f>IF(Table1345[[#This Row],[Referred_By]]&lt;&gt;"","Yes","No")</f>
        <v>Yes</v>
      </c>
      <c r="N12" s="3">
        <f>Table1345[[#This Row],[Monthly_Fee]]*Table1345[[#This Row],[Membership_Duration_M]]</f>
        <v>6000</v>
      </c>
      <c r="O12" t="str">
        <f>IF(AND(Table1345[[#This Row],[Attendance]]&lt;8,Table1345[[#This Row],[Membership_Duration_M]]&gt;=6),"Low Engagement","")</f>
        <v/>
      </c>
      <c r="P12" s="18" t="str">
        <f>IF(Table1345[[#This Row],[Age]]&lt;30,"Youth",IF(Table1345[[#This Row],[Age]]&lt;45,"Adult",IF(Table1345[[#This Row],[Age]]&gt;46,"Senior")))</f>
        <v>Senior</v>
      </c>
    </row>
    <row r="13" spans="1:16" ht="14.4" x14ac:dyDescent="0.3">
      <c r="A13" s="1" t="s">
        <v>52</v>
      </c>
      <c r="B13" s="1" t="s">
        <v>53</v>
      </c>
      <c r="C13" s="37">
        <v>36</v>
      </c>
      <c r="D13" s="1" t="s">
        <v>12</v>
      </c>
      <c r="E13" s="1" t="s">
        <v>22</v>
      </c>
      <c r="F13" s="39">
        <v>45154</v>
      </c>
      <c r="G13" s="31">
        <v>45568</v>
      </c>
      <c r="H13" s="29">
        <v>1200</v>
      </c>
      <c r="I13" s="29">
        <v>19</v>
      </c>
      <c r="J13" s="1" t="s">
        <v>42</v>
      </c>
      <c r="K13" s="1" t="s">
        <v>54</v>
      </c>
      <c r="L13" s="3">
        <f>INT((Table1345[[#This Row],[End_Date]]-Table1345[[#This Row],[Start_Date]])/30)</f>
        <v>13</v>
      </c>
      <c r="M13" s="3" t="str">
        <f>IF(Table1345[[#This Row],[Referred_By]]&lt;&gt;"","Yes","No")</f>
        <v>Yes</v>
      </c>
      <c r="N13" s="3">
        <f>Table1345[[#This Row],[Monthly_Fee]]*Table1345[[#This Row],[Membership_Duration_M]]</f>
        <v>15600</v>
      </c>
      <c r="O13" t="str">
        <f>IF(AND(Table1345[[#This Row],[Attendance]]&lt;8,Table1345[[#This Row],[Membership_Duration_M]]&gt;=6),"Low Engagement","")</f>
        <v/>
      </c>
      <c r="P13" s="18" t="str">
        <f>IF(Table1345[[#This Row],[Age]]&lt;30,"Youth",IF(Table1345[[#This Row],[Age]]&lt;45,"Adult",IF(Table1345[[#This Row],[Age]]&gt;46,"Senior")))</f>
        <v>Adult</v>
      </c>
    </row>
    <row r="14" spans="1:16" ht="14.4" x14ac:dyDescent="0.3">
      <c r="A14" s="1" t="s">
        <v>55</v>
      </c>
      <c r="B14" s="1" t="s">
        <v>56</v>
      </c>
      <c r="C14" s="37">
        <v>48</v>
      </c>
      <c r="D14" s="1" t="s">
        <v>27</v>
      </c>
      <c r="E14" s="1" t="s">
        <v>41</v>
      </c>
      <c r="F14" s="39">
        <v>45556</v>
      </c>
      <c r="G14" s="31">
        <v>45641</v>
      </c>
      <c r="H14" s="29">
        <v>1800</v>
      </c>
      <c r="I14" s="29">
        <v>22</v>
      </c>
      <c r="J14" s="1" t="s">
        <v>42</v>
      </c>
      <c r="L14" s="3">
        <f>INT((Table1345[[#This Row],[End_Date]]-Table1345[[#This Row],[Start_Date]])/30)</f>
        <v>2</v>
      </c>
      <c r="M14" s="3" t="str">
        <f>IF(Table1345[[#This Row],[Referred_By]]&lt;&gt;"","Yes","No")</f>
        <v>No</v>
      </c>
      <c r="N14" s="3">
        <f>Table1345[[#This Row],[Monthly_Fee]]*Table1345[[#This Row],[Membership_Duration_M]]</f>
        <v>3600</v>
      </c>
      <c r="O14" t="str">
        <f>IF(AND(Table1345[[#This Row],[Attendance]]&lt;8,Table1345[[#This Row],[Membership_Duration_M]]&gt;=6),"Low Engagement","")</f>
        <v/>
      </c>
      <c r="P14" s="18" t="str">
        <f>IF(Table1345[[#This Row],[Age]]&lt;30,"Youth",IF(Table1345[[#This Row],[Age]]&lt;45,"Adult",IF(Table1345[[#This Row],[Age]]&gt;46,"Senior")))</f>
        <v>Senior</v>
      </c>
    </row>
    <row r="15" spans="1:16" ht="14.4" x14ac:dyDescent="0.3">
      <c r="A15" s="1" t="s">
        <v>57</v>
      </c>
      <c r="B15" s="1" t="s">
        <v>58</v>
      </c>
      <c r="C15" s="37">
        <v>39</v>
      </c>
      <c r="D15" s="1" t="s">
        <v>12</v>
      </c>
      <c r="E15" s="1" t="s">
        <v>22</v>
      </c>
      <c r="F15" s="39">
        <v>45065</v>
      </c>
      <c r="G15" s="31">
        <v>45242</v>
      </c>
      <c r="H15" s="29">
        <v>1200</v>
      </c>
      <c r="I15" s="29">
        <v>28</v>
      </c>
      <c r="J15" s="1" t="s">
        <v>35</v>
      </c>
      <c r="L15" s="3">
        <f>INT((Table1345[[#This Row],[End_Date]]-Table1345[[#This Row],[Start_Date]])/30)</f>
        <v>5</v>
      </c>
      <c r="M15" s="3" t="str">
        <f>IF(Table1345[[#This Row],[Referred_By]]&lt;&gt;"","Yes","No")</f>
        <v>No</v>
      </c>
      <c r="N15" s="3">
        <f>Table1345[[#This Row],[Monthly_Fee]]*Table1345[[#This Row],[Membership_Duration_M]]</f>
        <v>6000</v>
      </c>
      <c r="O15" t="str">
        <f>IF(AND(Table1345[[#This Row],[Attendance]]&lt;8,Table1345[[#This Row],[Membership_Duration_M]]&gt;=6),"Low Engagement","")</f>
        <v/>
      </c>
      <c r="P15" s="18" t="str">
        <f>IF(Table1345[[#This Row],[Age]]&lt;30,"Youth",IF(Table1345[[#This Row],[Age]]&lt;45,"Adult",IF(Table1345[[#This Row],[Age]]&gt;46,"Senior")))</f>
        <v>Adult</v>
      </c>
    </row>
    <row r="16" spans="1:16" ht="14.4" x14ac:dyDescent="0.3">
      <c r="A16" s="1" t="s">
        <v>59</v>
      </c>
      <c r="B16" s="1" t="s">
        <v>60</v>
      </c>
      <c r="C16" s="37">
        <v>44</v>
      </c>
      <c r="D16" s="1" t="s">
        <v>27</v>
      </c>
      <c r="E16" s="1" t="s">
        <v>13</v>
      </c>
      <c r="F16" s="39">
        <v>45333</v>
      </c>
      <c r="G16" s="31">
        <v>45540</v>
      </c>
      <c r="H16" s="29">
        <v>800</v>
      </c>
      <c r="I16" s="29">
        <v>8</v>
      </c>
      <c r="J16" s="1" t="s">
        <v>23</v>
      </c>
      <c r="L16" s="3">
        <f>INT((Table1345[[#This Row],[End_Date]]-Table1345[[#This Row],[Start_Date]])/30)</f>
        <v>6</v>
      </c>
      <c r="M16" s="3" t="str">
        <f>IF(Table1345[[#This Row],[Referred_By]]&lt;&gt;"","Yes","No")</f>
        <v>No</v>
      </c>
      <c r="N16" s="3">
        <f>Table1345[[#This Row],[Monthly_Fee]]*Table1345[[#This Row],[Membership_Duration_M]]</f>
        <v>4800</v>
      </c>
      <c r="O16" t="str">
        <f>IF(AND(Table1345[[#This Row],[Attendance]]&lt;8,Table1345[[#This Row],[Membership_Duration_M]]&gt;=6),"Low Engagement","")</f>
        <v/>
      </c>
      <c r="P16" s="18" t="str">
        <f>IF(Table1345[[#This Row],[Age]]&lt;30,"Youth",IF(Table1345[[#This Row],[Age]]&lt;45,"Adult",IF(Table1345[[#This Row],[Age]]&gt;46,"Senior")))</f>
        <v>Adult</v>
      </c>
    </row>
    <row r="17" spans="1:16" ht="14.4" x14ac:dyDescent="0.3">
      <c r="A17" s="1" t="s">
        <v>61</v>
      </c>
      <c r="B17" s="1" t="s">
        <v>62</v>
      </c>
      <c r="C17" s="37">
        <v>39</v>
      </c>
      <c r="D17" s="1" t="s">
        <v>12</v>
      </c>
      <c r="E17" s="1" t="s">
        <v>31</v>
      </c>
      <c r="F17" s="39">
        <v>45702</v>
      </c>
      <c r="G17" s="31">
        <v>45732</v>
      </c>
      <c r="H17" s="29">
        <v>2500</v>
      </c>
      <c r="I17" s="29">
        <v>14</v>
      </c>
      <c r="J17" s="1" t="s">
        <v>42</v>
      </c>
      <c r="L17" s="3">
        <f>INT((Table1345[[#This Row],[End_Date]]-Table1345[[#This Row],[Start_Date]])/30)</f>
        <v>1</v>
      </c>
      <c r="M17" s="3" t="str">
        <f>IF(Table1345[[#This Row],[Referred_By]]&lt;&gt;"","Yes","No")</f>
        <v>No</v>
      </c>
      <c r="N17" s="3">
        <f>Table1345[[#This Row],[Monthly_Fee]]*Table1345[[#This Row],[Membership_Duration_M]]</f>
        <v>2500</v>
      </c>
      <c r="O17" t="str">
        <f>IF(AND(Table1345[[#This Row],[Attendance]]&lt;8,Table1345[[#This Row],[Membership_Duration_M]]&gt;=6),"Low Engagement","")</f>
        <v/>
      </c>
      <c r="P17" s="18" t="str">
        <f>IF(Table1345[[#This Row],[Age]]&lt;30,"Youth",IF(Table1345[[#This Row],[Age]]&lt;45,"Adult",IF(Table1345[[#This Row],[Age]]&gt;46,"Senior")))</f>
        <v>Adult</v>
      </c>
    </row>
    <row r="18" spans="1:16" ht="14.4" x14ac:dyDescent="0.3">
      <c r="A18" s="1" t="s">
        <v>63</v>
      </c>
      <c r="B18" s="1" t="s">
        <v>64</v>
      </c>
      <c r="C18" s="37">
        <v>35</v>
      </c>
      <c r="D18" s="1" t="s">
        <v>12</v>
      </c>
      <c r="E18" s="1" t="s">
        <v>22</v>
      </c>
      <c r="F18" s="39">
        <v>45329</v>
      </c>
      <c r="G18" s="31">
        <v>45685</v>
      </c>
      <c r="H18" s="29">
        <v>1200</v>
      </c>
      <c r="I18" s="29">
        <v>25</v>
      </c>
      <c r="J18" s="1" t="s">
        <v>23</v>
      </c>
      <c r="L18" s="3">
        <f>INT((Table1345[[#This Row],[End_Date]]-Table1345[[#This Row],[Start_Date]])/30)</f>
        <v>11</v>
      </c>
      <c r="M18" s="3" t="str">
        <f>IF(Table1345[[#This Row],[Referred_By]]&lt;&gt;"","Yes","No")</f>
        <v>No</v>
      </c>
      <c r="N18" s="3">
        <f>Table1345[[#This Row],[Monthly_Fee]]*Table1345[[#This Row],[Membership_Duration_M]]</f>
        <v>13200</v>
      </c>
      <c r="O18" t="str">
        <f>IF(AND(Table1345[[#This Row],[Attendance]]&lt;8,Table1345[[#This Row],[Membership_Duration_M]]&gt;=6),"Low Engagement","")</f>
        <v/>
      </c>
      <c r="P18" s="18" t="str">
        <f>IF(Table1345[[#This Row],[Age]]&lt;30,"Youth",IF(Table1345[[#This Row],[Age]]&lt;45,"Adult",IF(Table1345[[#This Row],[Age]]&gt;46,"Senior")))</f>
        <v>Adult</v>
      </c>
    </row>
    <row r="19" spans="1:16" ht="14.4" x14ac:dyDescent="0.3">
      <c r="A19" s="1" t="s">
        <v>65</v>
      </c>
      <c r="B19" s="1" t="s">
        <v>66</v>
      </c>
      <c r="C19" s="37">
        <v>56</v>
      </c>
      <c r="D19" s="1" t="s">
        <v>27</v>
      </c>
      <c r="E19" s="1" t="s">
        <v>31</v>
      </c>
      <c r="F19" s="39">
        <v>45213</v>
      </c>
      <c r="G19" s="31">
        <v>45649</v>
      </c>
      <c r="H19" s="29">
        <v>2500</v>
      </c>
      <c r="I19" s="29">
        <v>13</v>
      </c>
      <c r="J19" s="1" t="s">
        <v>67</v>
      </c>
      <c r="L19" s="3">
        <f>INT((Table1345[[#This Row],[End_Date]]-Table1345[[#This Row],[Start_Date]])/30)</f>
        <v>14</v>
      </c>
      <c r="M19" s="3" t="str">
        <f>IF(Table1345[[#This Row],[Referred_By]]&lt;&gt;"","Yes","No")</f>
        <v>No</v>
      </c>
      <c r="N19" s="3">
        <f>Table1345[[#This Row],[Monthly_Fee]]*Table1345[[#This Row],[Membership_Duration_M]]</f>
        <v>35000</v>
      </c>
      <c r="O19" t="str">
        <f>IF(AND(Table1345[[#This Row],[Attendance]]&lt;8,Table1345[[#This Row],[Membership_Duration_M]]&gt;=6),"Low Engagement","")</f>
        <v/>
      </c>
      <c r="P19" s="18" t="str">
        <f>IF(Table1345[[#This Row],[Age]]&lt;30,"Youth",IF(Table1345[[#This Row],[Age]]&lt;45,"Adult",IF(Table1345[[#This Row],[Age]]&gt;46,"Senior")))</f>
        <v>Senior</v>
      </c>
    </row>
    <row r="20" spans="1:16" ht="14.4" x14ac:dyDescent="0.3">
      <c r="A20" s="1" t="s">
        <v>68</v>
      </c>
      <c r="B20" s="1" t="s">
        <v>69</v>
      </c>
      <c r="C20" s="37">
        <v>27</v>
      </c>
      <c r="D20" s="1" t="s">
        <v>27</v>
      </c>
      <c r="E20" s="1" t="s">
        <v>13</v>
      </c>
      <c r="F20" s="39">
        <v>45354</v>
      </c>
      <c r="G20" s="31">
        <v>45664</v>
      </c>
      <c r="H20" s="29">
        <v>800</v>
      </c>
      <c r="I20" s="29">
        <v>26</v>
      </c>
      <c r="J20" s="1" t="s">
        <v>35</v>
      </c>
      <c r="L20" s="3">
        <f>INT((Table1345[[#This Row],[End_Date]]-Table1345[[#This Row],[Start_Date]])/30)</f>
        <v>10</v>
      </c>
      <c r="M20" s="3" t="str">
        <f>IF(Table1345[[#This Row],[Referred_By]]&lt;&gt;"","Yes","No")</f>
        <v>No</v>
      </c>
      <c r="N20" s="3">
        <f>Table1345[[#This Row],[Monthly_Fee]]*Table1345[[#This Row],[Membership_Duration_M]]</f>
        <v>8000</v>
      </c>
      <c r="O20" t="str">
        <f>IF(AND(Table1345[[#This Row],[Attendance]]&lt;8,Table1345[[#This Row],[Membership_Duration_M]]&gt;=6),"Low Engagement","")</f>
        <v/>
      </c>
      <c r="P20" s="18" t="str">
        <f>IF(Table1345[[#This Row],[Age]]&lt;30,"Youth",IF(Table1345[[#This Row],[Age]]&lt;45,"Adult",IF(Table1345[[#This Row],[Age]]&gt;46,"Senior")))</f>
        <v>Youth</v>
      </c>
    </row>
    <row r="21" spans="1:16" ht="15.75" customHeight="1" x14ac:dyDescent="0.3">
      <c r="A21" s="1" t="s">
        <v>70</v>
      </c>
      <c r="B21" s="1" t="s">
        <v>71</v>
      </c>
      <c r="C21" s="37">
        <v>28</v>
      </c>
      <c r="D21" s="1" t="s">
        <v>12</v>
      </c>
      <c r="E21" s="1" t="s">
        <v>31</v>
      </c>
      <c r="F21" s="39">
        <v>45417</v>
      </c>
      <c r="G21" s="31">
        <v>45608</v>
      </c>
      <c r="H21" s="29">
        <v>2500</v>
      </c>
      <c r="I21" s="29">
        <v>21</v>
      </c>
      <c r="J21" s="1" t="s">
        <v>35</v>
      </c>
      <c r="K21" s="1" t="s">
        <v>72</v>
      </c>
      <c r="L21" s="3">
        <f>INT((Table1345[[#This Row],[End_Date]]-Table1345[[#This Row],[Start_Date]])/30)</f>
        <v>6</v>
      </c>
      <c r="M21" s="3" t="str">
        <f>IF(Table1345[[#This Row],[Referred_By]]&lt;&gt;"","Yes","No")</f>
        <v>Yes</v>
      </c>
      <c r="N21" s="3">
        <f>Table1345[[#This Row],[Monthly_Fee]]*Table1345[[#This Row],[Membership_Duration_M]]</f>
        <v>15000</v>
      </c>
      <c r="O21" t="str">
        <f>IF(AND(Table1345[[#This Row],[Attendance]]&lt;8,Table1345[[#This Row],[Membership_Duration_M]]&gt;=6),"Low Engagement","")</f>
        <v/>
      </c>
      <c r="P21" s="18" t="str">
        <f>IF(Table1345[[#This Row],[Age]]&lt;30,"Youth",IF(Table1345[[#This Row],[Age]]&lt;45,"Adult",IF(Table1345[[#This Row],[Age]]&gt;46,"Senior")))</f>
        <v>Youth</v>
      </c>
    </row>
    <row r="22" spans="1:16" ht="15.75" customHeight="1" x14ac:dyDescent="0.3">
      <c r="A22" s="1" t="s">
        <v>73</v>
      </c>
      <c r="B22" s="1" t="s">
        <v>74</v>
      </c>
      <c r="C22" s="37">
        <v>57</v>
      </c>
      <c r="D22" s="1" t="s">
        <v>27</v>
      </c>
      <c r="E22" s="1" t="s">
        <v>41</v>
      </c>
      <c r="F22" s="39">
        <v>45146</v>
      </c>
      <c r="G22" s="31">
        <v>45674</v>
      </c>
      <c r="H22" s="29">
        <v>1800</v>
      </c>
      <c r="I22" s="29">
        <v>19</v>
      </c>
      <c r="J22" s="1" t="s">
        <v>35</v>
      </c>
      <c r="L22" s="3">
        <f>INT((Table1345[[#This Row],[End_Date]]-Table1345[[#This Row],[Start_Date]])/30)</f>
        <v>17</v>
      </c>
      <c r="M22" s="3" t="str">
        <f>IF(Table1345[[#This Row],[Referred_By]]&lt;&gt;"","Yes","No")</f>
        <v>No</v>
      </c>
      <c r="N22" s="3">
        <f>Table1345[[#This Row],[Monthly_Fee]]*Table1345[[#This Row],[Membership_Duration_M]]</f>
        <v>30600</v>
      </c>
      <c r="O22" t="str">
        <f>IF(AND(Table1345[[#This Row],[Attendance]]&lt;8,Table1345[[#This Row],[Membership_Duration_M]]&gt;=6),"Low Engagement","")</f>
        <v/>
      </c>
      <c r="P22" s="18" t="str">
        <f>IF(Table1345[[#This Row],[Age]]&lt;30,"Youth",IF(Table1345[[#This Row],[Age]]&lt;45,"Adult",IF(Table1345[[#This Row],[Age]]&gt;46,"Senior")))</f>
        <v>Senior</v>
      </c>
    </row>
    <row r="23" spans="1:16" ht="15.75" customHeight="1" x14ac:dyDescent="0.3">
      <c r="A23" s="13" t="s">
        <v>75</v>
      </c>
      <c r="B23" s="13" t="s">
        <v>76</v>
      </c>
      <c r="C23" s="38">
        <v>26</v>
      </c>
      <c r="D23" s="13" t="s">
        <v>27</v>
      </c>
      <c r="E23" s="13" t="s">
        <v>41</v>
      </c>
      <c r="F23" s="40">
        <v>45320</v>
      </c>
      <c r="G23" s="32">
        <v>45616</v>
      </c>
      <c r="H23" s="30">
        <v>1800</v>
      </c>
      <c r="I23" s="30">
        <v>5</v>
      </c>
      <c r="J23" s="13" t="s">
        <v>14</v>
      </c>
      <c r="K23" s="16"/>
      <c r="L23" s="15">
        <f>INT((Table1345[[#This Row],[End_Date]]-Table1345[[#This Row],[Start_Date]])/30)</f>
        <v>9</v>
      </c>
      <c r="M23" s="15" t="str">
        <f>IF(Table1345[[#This Row],[Referred_By]]&lt;&gt;"","Yes","No")</f>
        <v>No</v>
      </c>
      <c r="N23" s="15">
        <f>Table1345[[#This Row],[Monthly_Fee]]*Table1345[[#This Row],[Membership_Duration_M]]</f>
        <v>16200</v>
      </c>
      <c r="O23" t="str">
        <f>IF(AND(Table1345[[#This Row],[Attendance]]&lt;8,Table1345[[#This Row],[Membership_Duration_M]]&gt;=6),"Low Engagement","")</f>
        <v>Low Engagement</v>
      </c>
      <c r="P23" s="18" t="str">
        <f>IF(Table1345[[#This Row],[Age]]&lt;30,"Youth",IF(Table1345[[#This Row],[Age]]&lt;45,"Adult",IF(Table1345[[#This Row],[Age]]&gt;46,"Senior")))</f>
        <v>Youth</v>
      </c>
    </row>
    <row r="24" spans="1:16" ht="15.75" customHeight="1" x14ac:dyDescent="0.3">
      <c r="A24" s="1" t="s">
        <v>77</v>
      </c>
      <c r="B24" s="1" t="s">
        <v>78</v>
      </c>
      <c r="C24" s="37">
        <v>48</v>
      </c>
      <c r="D24" s="1" t="s">
        <v>12</v>
      </c>
      <c r="E24" s="1" t="s">
        <v>41</v>
      </c>
      <c r="F24" s="39">
        <v>45451</v>
      </c>
      <c r="G24" s="31">
        <v>45455</v>
      </c>
      <c r="H24" s="29">
        <v>1800</v>
      </c>
      <c r="I24" s="29">
        <v>18</v>
      </c>
      <c r="J24" s="1" t="s">
        <v>67</v>
      </c>
      <c r="L24" s="3">
        <f>INT((Table1345[[#This Row],[End_Date]]-Table1345[[#This Row],[Start_Date]])/30)</f>
        <v>0</v>
      </c>
      <c r="M24" s="3" t="str">
        <f>IF(Table1345[[#This Row],[Referred_By]]&lt;&gt;"","Yes","No")</f>
        <v>No</v>
      </c>
      <c r="N24" s="3">
        <f>Table1345[[#This Row],[Monthly_Fee]]*Table1345[[#This Row],[Membership_Duration_M]]</f>
        <v>0</v>
      </c>
      <c r="O24" t="str">
        <f>IF(AND(Table1345[[#This Row],[Attendance]]&lt;8,Table1345[[#This Row],[Membership_Duration_M]]&gt;=6),"Low Engagement","")</f>
        <v/>
      </c>
      <c r="P24" s="18" t="str">
        <f>IF(Table1345[[#This Row],[Age]]&lt;30,"Youth",IF(Table1345[[#This Row],[Age]]&lt;45,"Adult",IF(Table1345[[#This Row],[Age]]&gt;46,"Senior")))</f>
        <v>Senior</v>
      </c>
    </row>
    <row r="25" spans="1:16" ht="15.75" customHeight="1" x14ac:dyDescent="0.3">
      <c r="A25" s="13" t="s">
        <v>79</v>
      </c>
      <c r="B25" s="13" t="s">
        <v>80</v>
      </c>
      <c r="C25" s="38">
        <v>25</v>
      </c>
      <c r="D25" s="13" t="s">
        <v>27</v>
      </c>
      <c r="E25" s="13" t="s">
        <v>22</v>
      </c>
      <c r="F25" s="40">
        <v>45439</v>
      </c>
      <c r="G25" s="32">
        <v>45730</v>
      </c>
      <c r="H25" s="30">
        <v>1200</v>
      </c>
      <c r="I25" s="30">
        <v>6</v>
      </c>
      <c r="J25" s="13" t="s">
        <v>14</v>
      </c>
      <c r="K25" s="16"/>
      <c r="L25" s="15">
        <f>INT((Table1345[[#This Row],[End_Date]]-Table1345[[#This Row],[Start_Date]])/30)</f>
        <v>9</v>
      </c>
      <c r="M25" s="15" t="str">
        <f>IF(Table1345[[#This Row],[Referred_By]]&lt;&gt;"","Yes","No")</f>
        <v>No</v>
      </c>
      <c r="N25" s="15">
        <f>Table1345[[#This Row],[Monthly_Fee]]*Table1345[[#This Row],[Membership_Duration_M]]</f>
        <v>10800</v>
      </c>
      <c r="O25" t="str">
        <f>IF(AND(Table1345[[#This Row],[Attendance]]&lt;8,Table1345[[#This Row],[Membership_Duration_M]]&gt;=6),"Low Engagement","")</f>
        <v>Low Engagement</v>
      </c>
      <c r="P25" s="18" t="str">
        <f>IF(Table1345[[#This Row],[Age]]&lt;30,"Youth",IF(Table1345[[#This Row],[Age]]&lt;45,"Adult",IF(Table1345[[#This Row],[Age]]&gt;46,"Senior")))</f>
        <v>Youth</v>
      </c>
    </row>
    <row r="26" spans="1:16" ht="15.75" customHeight="1" x14ac:dyDescent="0.3">
      <c r="A26" s="1" t="s">
        <v>81</v>
      </c>
      <c r="B26" s="1" t="s">
        <v>82</v>
      </c>
      <c r="C26" s="37">
        <v>53</v>
      </c>
      <c r="D26" s="1" t="s">
        <v>12</v>
      </c>
      <c r="E26" s="1" t="s">
        <v>41</v>
      </c>
      <c r="F26" s="39">
        <v>45286</v>
      </c>
      <c r="G26" s="31">
        <v>45372</v>
      </c>
      <c r="H26" s="29">
        <v>1800</v>
      </c>
      <c r="I26" s="29">
        <v>17</v>
      </c>
      <c r="J26" s="1" t="s">
        <v>35</v>
      </c>
      <c r="K26" s="1" t="s">
        <v>83</v>
      </c>
      <c r="L26" s="3">
        <f>INT((Table1345[[#This Row],[End_Date]]-Table1345[[#This Row],[Start_Date]])/30)</f>
        <v>2</v>
      </c>
      <c r="M26" s="3" t="str">
        <f>IF(Table1345[[#This Row],[Referred_By]]&lt;&gt;"","Yes","No")</f>
        <v>Yes</v>
      </c>
      <c r="N26" s="3">
        <f>Table1345[[#This Row],[Monthly_Fee]]*Table1345[[#This Row],[Membership_Duration_M]]</f>
        <v>3600</v>
      </c>
      <c r="O26" t="str">
        <f>IF(AND(Table1345[[#This Row],[Attendance]]&lt;8,Table1345[[#This Row],[Membership_Duration_M]]&gt;=6),"Low Engagement","")</f>
        <v/>
      </c>
      <c r="P26" s="18" t="str">
        <f>IF(Table1345[[#This Row],[Age]]&lt;30,"Youth",IF(Table1345[[#This Row],[Age]]&lt;45,"Adult",IF(Table1345[[#This Row],[Age]]&gt;46,"Senior")))</f>
        <v>Senior</v>
      </c>
    </row>
    <row r="27" spans="1:16" ht="15.75" customHeight="1" x14ac:dyDescent="0.3">
      <c r="A27" s="1" t="s">
        <v>84</v>
      </c>
      <c r="B27" s="1" t="s">
        <v>85</v>
      </c>
      <c r="C27" s="37">
        <v>42</v>
      </c>
      <c r="D27" s="1" t="s">
        <v>27</v>
      </c>
      <c r="E27" s="1" t="s">
        <v>22</v>
      </c>
      <c r="F27" s="39">
        <v>45702</v>
      </c>
      <c r="G27" s="31">
        <v>45727</v>
      </c>
      <c r="H27" s="29">
        <v>1200</v>
      </c>
      <c r="I27" s="29">
        <v>3</v>
      </c>
      <c r="J27" s="1" t="s">
        <v>67</v>
      </c>
      <c r="L27" s="3">
        <f>INT((Table1345[[#This Row],[End_Date]]-Table1345[[#This Row],[Start_Date]])/30)</f>
        <v>0</v>
      </c>
      <c r="M27" s="3" t="str">
        <f>IF(Table1345[[#This Row],[Referred_By]]&lt;&gt;"","Yes","No")</f>
        <v>No</v>
      </c>
      <c r="N27" s="3">
        <f>Table1345[[#This Row],[Monthly_Fee]]*Table1345[[#This Row],[Membership_Duration_M]]</f>
        <v>0</v>
      </c>
      <c r="O27" t="str">
        <f>IF(AND(Table1345[[#This Row],[Attendance]]&lt;8,Table1345[[#This Row],[Membership_Duration_M]]&gt;=6),"Low Engagement","")</f>
        <v/>
      </c>
      <c r="P27" s="18" t="str">
        <f>IF(Table1345[[#This Row],[Age]]&lt;30,"Youth",IF(Table1345[[#This Row],[Age]]&lt;45,"Adult",IF(Table1345[[#This Row],[Age]]&gt;46,"Senior")))</f>
        <v>Adult</v>
      </c>
    </row>
    <row r="28" spans="1:16" ht="15.75" customHeight="1" x14ac:dyDescent="0.3">
      <c r="A28" s="1" t="s">
        <v>86</v>
      </c>
      <c r="B28" s="1" t="s">
        <v>87</v>
      </c>
      <c r="C28" s="37">
        <v>24</v>
      </c>
      <c r="D28" s="1" t="s">
        <v>12</v>
      </c>
      <c r="E28" s="1" t="s">
        <v>31</v>
      </c>
      <c r="F28" s="39">
        <v>45698</v>
      </c>
      <c r="G28" s="31">
        <v>45726</v>
      </c>
      <c r="H28" s="29">
        <v>2500</v>
      </c>
      <c r="I28" s="29">
        <v>28</v>
      </c>
      <c r="J28" s="1" t="s">
        <v>35</v>
      </c>
      <c r="L28" s="3">
        <f>INT((Table1345[[#This Row],[End_Date]]-Table1345[[#This Row],[Start_Date]])/30)</f>
        <v>0</v>
      </c>
      <c r="M28" s="3" t="str">
        <f>IF(Table1345[[#This Row],[Referred_By]]&lt;&gt;"","Yes","No")</f>
        <v>No</v>
      </c>
      <c r="N28" s="3">
        <f>Table1345[[#This Row],[Monthly_Fee]]*Table1345[[#This Row],[Membership_Duration_M]]</f>
        <v>0</v>
      </c>
      <c r="O28" t="str">
        <f>IF(AND(Table1345[[#This Row],[Attendance]]&lt;8,Table1345[[#This Row],[Membership_Duration_M]]&gt;=6),"Low Engagement","")</f>
        <v/>
      </c>
      <c r="P28" s="18" t="str">
        <f>IF(Table1345[[#This Row],[Age]]&lt;30,"Youth",IF(Table1345[[#This Row],[Age]]&lt;45,"Adult",IF(Table1345[[#This Row],[Age]]&gt;46,"Senior")))</f>
        <v>Youth</v>
      </c>
    </row>
    <row r="29" spans="1:16" ht="15.75" customHeight="1" x14ac:dyDescent="0.3">
      <c r="A29" s="1" t="s">
        <v>88</v>
      </c>
      <c r="B29" s="1" t="s">
        <v>89</v>
      </c>
      <c r="C29" s="37">
        <v>53</v>
      </c>
      <c r="D29" s="1" t="s">
        <v>12</v>
      </c>
      <c r="E29" s="1" t="s">
        <v>22</v>
      </c>
      <c r="F29" s="39">
        <v>45614</v>
      </c>
      <c r="G29" s="31">
        <v>45645</v>
      </c>
      <c r="H29" s="29">
        <v>1200</v>
      </c>
      <c r="I29" s="29">
        <v>23</v>
      </c>
      <c r="J29" s="1" t="s">
        <v>18</v>
      </c>
      <c r="L29" s="3">
        <f>INT((Table1345[[#This Row],[End_Date]]-Table1345[[#This Row],[Start_Date]])/30)</f>
        <v>1</v>
      </c>
      <c r="M29" s="3" t="str">
        <f>IF(Table1345[[#This Row],[Referred_By]]&lt;&gt;"","Yes","No")</f>
        <v>No</v>
      </c>
      <c r="N29" s="3">
        <f>Table1345[[#This Row],[Monthly_Fee]]*Table1345[[#This Row],[Membership_Duration_M]]</f>
        <v>1200</v>
      </c>
      <c r="O29" t="str">
        <f>IF(AND(Table1345[[#This Row],[Attendance]]&lt;8,Table1345[[#This Row],[Membership_Duration_M]]&gt;=6),"Low Engagement","")</f>
        <v/>
      </c>
      <c r="P29" s="18" t="str">
        <f>IF(Table1345[[#This Row],[Age]]&lt;30,"Youth",IF(Table1345[[#This Row],[Age]]&lt;45,"Adult",IF(Table1345[[#This Row],[Age]]&gt;46,"Senior")))</f>
        <v>Senior</v>
      </c>
    </row>
    <row r="30" spans="1:16" ht="15.75" customHeight="1" x14ac:dyDescent="0.3">
      <c r="A30" s="1" t="s">
        <v>90</v>
      </c>
      <c r="B30" s="1" t="s">
        <v>91</v>
      </c>
      <c r="C30" s="37">
        <v>29</v>
      </c>
      <c r="D30" s="1" t="s">
        <v>27</v>
      </c>
      <c r="E30" s="1" t="s">
        <v>31</v>
      </c>
      <c r="F30" s="39">
        <v>45401</v>
      </c>
      <c r="G30" s="31">
        <v>45408</v>
      </c>
      <c r="H30" s="29">
        <v>2500</v>
      </c>
      <c r="I30" s="29">
        <v>8</v>
      </c>
      <c r="J30" s="1" t="s">
        <v>23</v>
      </c>
      <c r="L30" s="3">
        <f>INT((Table1345[[#This Row],[End_Date]]-Table1345[[#This Row],[Start_Date]])/30)</f>
        <v>0</v>
      </c>
      <c r="M30" s="3" t="str">
        <f>IF(Table1345[[#This Row],[Referred_By]]&lt;&gt;"","Yes","No")</f>
        <v>No</v>
      </c>
      <c r="N30" s="3">
        <f>Table1345[[#This Row],[Monthly_Fee]]*Table1345[[#This Row],[Membership_Duration_M]]</f>
        <v>0</v>
      </c>
      <c r="O30" t="str">
        <f>IF(AND(Table1345[[#This Row],[Attendance]]&lt;8,Table1345[[#This Row],[Membership_Duration_M]]&gt;=6),"Low Engagement","")</f>
        <v/>
      </c>
      <c r="P30" s="18" t="str">
        <f>IF(Table1345[[#This Row],[Age]]&lt;30,"Youth",IF(Table1345[[#This Row],[Age]]&lt;45,"Adult",IF(Table1345[[#This Row],[Age]]&gt;46,"Senior")))</f>
        <v>Youth</v>
      </c>
    </row>
    <row r="31" spans="1:16" ht="15.75" customHeight="1" x14ac:dyDescent="0.3">
      <c r="A31" s="1" t="s">
        <v>92</v>
      </c>
      <c r="B31" s="1" t="s">
        <v>93</v>
      </c>
      <c r="C31" s="37">
        <v>31</v>
      </c>
      <c r="D31" s="1" t="s">
        <v>27</v>
      </c>
      <c r="E31" s="1" t="s">
        <v>31</v>
      </c>
      <c r="F31" s="39">
        <v>45667</v>
      </c>
      <c r="G31" s="31">
        <v>45745</v>
      </c>
      <c r="H31" s="29">
        <v>2500</v>
      </c>
      <c r="I31" s="29">
        <v>23</v>
      </c>
      <c r="J31" s="1" t="s">
        <v>42</v>
      </c>
      <c r="K31" s="1" t="s">
        <v>94</v>
      </c>
      <c r="L31" s="3">
        <f>INT((Table1345[[#This Row],[End_Date]]-Table1345[[#This Row],[Start_Date]])/30)</f>
        <v>2</v>
      </c>
      <c r="M31" s="3" t="str">
        <f>IF(Table1345[[#This Row],[Referred_By]]&lt;&gt;"","Yes","No")</f>
        <v>Yes</v>
      </c>
      <c r="N31" s="3">
        <f>Table1345[[#This Row],[Monthly_Fee]]*Table1345[[#This Row],[Membership_Duration_M]]</f>
        <v>5000</v>
      </c>
      <c r="O31" t="str">
        <f>IF(AND(Table1345[[#This Row],[Attendance]]&lt;8,Table1345[[#This Row],[Membership_Duration_M]]&gt;=6),"Low Engagement","")</f>
        <v/>
      </c>
      <c r="P31" s="18" t="str">
        <f>IF(Table1345[[#This Row],[Age]]&lt;30,"Youth",IF(Table1345[[#This Row],[Age]]&lt;45,"Adult",IF(Table1345[[#This Row],[Age]]&gt;46,"Senior")))</f>
        <v>Adult</v>
      </c>
    </row>
    <row r="32" spans="1:16" ht="15.75" customHeight="1" x14ac:dyDescent="0.3">
      <c r="A32" s="1" t="s">
        <v>95</v>
      </c>
      <c r="B32" s="1" t="s">
        <v>96</v>
      </c>
      <c r="C32" s="37">
        <v>52</v>
      </c>
      <c r="D32" s="1" t="s">
        <v>27</v>
      </c>
      <c r="E32" s="1" t="s">
        <v>13</v>
      </c>
      <c r="F32" s="39">
        <v>45088</v>
      </c>
      <c r="G32" s="31">
        <v>45656</v>
      </c>
      <c r="H32" s="29">
        <v>800</v>
      </c>
      <c r="I32" s="29">
        <v>9</v>
      </c>
      <c r="J32" s="1" t="s">
        <v>67</v>
      </c>
      <c r="K32" s="1" t="s">
        <v>97</v>
      </c>
      <c r="L32" s="3">
        <f>INT((Table1345[[#This Row],[End_Date]]-Table1345[[#This Row],[Start_Date]])/30)</f>
        <v>18</v>
      </c>
      <c r="M32" s="3" t="str">
        <f>IF(Table1345[[#This Row],[Referred_By]]&lt;&gt;"","Yes","No")</f>
        <v>Yes</v>
      </c>
      <c r="N32" s="3">
        <f>Table1345[[#This Row],[Monthly_Fee]]*Table1345[[#This Row],[Membership_Duration_M]]</f>
        <v>14400</v>
      </c>
      <c r="O32" t="str">
        <f>IF(AND(Table1345[[#This Row],[Attendance]]&lt;8,Table1345[[#This Row],[Membership_Duration_M]]&gt;=6),"Low Engagement","")</f>
        <v/>
      </c>
      <c r="P32" s="18" t="str">
        <f>IF(Table1345[[#This Row],[Age]]&lt;30,"Youth",IF(Table1345[[#This Row],[Age]]&lt;45,"Adult",IF(Table1345[[#This Row],[Age]]&gt;46,"Senior")))</f>
        <v>Senior</v>
      </c>
    </row>
    <row r="33" spans="1:17" ht="15.75" customHeight="1" x14ac:dyDescent="0.3">
      <c r="A33" s="13" t="s">
        <v>98</v>
      </c>
      <c r="B33" s="13" t="s">
        <v>99</v>
      </c>
      <c r="C33" s="38">
        <v>20</v>
      </c>
      <c r="D33" s="13" t="s">
        <v>12</v>
      </c>
      <c r="E33" s="13" t="s">
        <v>22</v>
      </c>
      <c r="F33" s="40">
        <v>45391</v>
      </c>
      <c r="G33" s="32">
        <v>45604</v>
      </c>
      <c r="H33" s="30">
        <v>1200</v>
      </c>
      <c r="I33" s="30">
        <v>2</v>
      </c>
      <c r="J33" s="13" t="s">
        <v>35</v>
      </c>
      <c r="K33" s="16"/>
      <c r="L33" s="15">
        <f>INT((Table1345[[#This Row],[End_Date]]-Table1345[[#This Row],[Start_Date]])/30)</f>
        <v>7</v>
      </c>
      <c r="M33" s="15" t="str">
        <f>IF(Table1345[[#This Row],[Referred_By]]&lt;&gt;"","Yes","No")</f>
        <v>No</v>
      </c>
      <c r="N33" s="15">
        <f>Table1345[[#This Row],[Monthly_Fee]]*Table1345[[#This Row],[Membership_Duration_M]]</f>
        <v>8400</v>
      </c>
      <c r="O33" t="str">
        <f>IF(AND(Table1345[[#This Row],[Attendance]]&lt;8,Table1345[[#This Row],[Membership_Duration_M]]&gt;=6),"Low Engagement","")</f>
        <v>Low Engagement</v>
      </c>
      <c r="P33" s="18" t="str">
        <f>IF(Table1345[[#This Row],[Age]]&lt;30,"Youth",IF(Table1345[[#This Row],[Age]]&lt;45,"Adult",IF(Table1345[[#This Row],[Age]]&gt;46,"Senior")))</f>
        <v>Youth</v>
      </c>
    </row>
    <row r="34" spans="1:17" ht="15.75" customHeight="1" x14ac:dyDescent="0.3">
      <c r="A34" s="1" t="s">
        <v>100</v>
      </c>
      <c r="B34" s="1" t="s">
        <v>101</v>
      </c>
      <c r="C34" s="37">
        <v>22</v>
      </c>
      <c r="D34" s="1" t="s">
        <v>12</v>
      </c>
      <c r="E34" s="1" t="s">
        <v>13</v>
      </c>
      <c r="F34" s="39">
        <v>45699</v>
      </c>
      <c r="G34" s="31">
        <v>45740</v>
      </c>
      <c r="H34" s="29">
        <v>800</v>
      </c>
      <c r="I34" s="29">
        <v>30</v>
      </c>
      <c r="J34" s="1" t="s">
        <v>35</v>
      </c>
      <c r="L34" s="3">
        <f>INT((Table1345[[#This Row],[End_Date]]-Table1345[[#This Row],[Start_Date]])/30)</f>
        <v>1</v>
      </c>
      <c r="M34" s="3" t="str">
        <f>IF(Table1345[[#This Row],[Referred_By]]&lt;&gt;"","Yes","No")</f>
        <v>No</v>
      </c>
      <c r="N34" s="3">
        <f>Table1345[[#This Row],[Monthly_Fee]]*Table1345[[#This Row],[Membership_Duration_M]]</f>
        <v>800</v>
      </c>
      <c r="O34" t="str">
        <f>IF(AND(Table1345[[#This Row],[Attendance]]&lt;8,Table1345[[#This Row],[Membership_Duration_M]]&gt;=6),"Low Engagement","")</f>
        <v/>
      </c>
      <c r="P34" s="18" t="str">
        <f>IF(Table1345[[#This Row],[Age]]&lt;30,"Youth",IF(Table1345[[#This Row],[Age]]&lt;45,"Adult",IF(Table1345[[#This Row],[Age]]&gt;46,"Senior")))</f>
        <v>Youth</v>
      </c>
    </row>
    <row r="35" spans="1:17" ht="15.75" customHeight="1" x14ac:dyDescent="0.3">
      <c r="A35" s="1" t="s">
        <v>102</v>
      </c>
      <c r="B35" s="1" t="s">
        <v>103</v>
      </c>
      <c r="C35" s="37">
        <v>23</v>
      </c>
      <c r="D35" s="1" t="s">
        <v>12</v>
      </c>
      <c r="E35" s="1" t="s">
        <v>41</v>
      </c>
      <c r="F35" s="39">
        <v>45588</v>
      </c>
      <c r="G35" s="31">
        <v>45721</v>
      </c>
      <c r="H35" s="29">
        <v>1800</v>
      </c>
      <c r="I35" s="29">
        <v>23</v>
      </c>
      <c r="J35" s="1" t="s">
        <v>18</v>
      </c>
      <c r="K35" s="1" t="s">
        <v>104</v>
      </c>
      <c r="L35" s="3">
        <f>INT((Table1345[[#This Row],[End_Date]]-Table1345[[#This Row],[Start_Date]])/30)</f>
        <v>4</v>
      </c>
      <c r="M35" s="3" t="str">
        <f>IF(Table1345[[#This Row],[Referred_By]]&lt;&gt;"","Yes","No")</f>
        <v>Yes</v>
      </c>
      <c r="N35" s="3">
        <f>Table1345[[#This Row],[Monthly_Fee]]*Table1345[[#This Row],[Membership_Duration_M]]</f>
        <v>7200</v>
      </c>
      <c r="O35" t="str">
        <f>IF(AND(Table1345[[#This Row],[Attendance]]&lt;8,Table1345[[#This Row],[Membership_Duration_M]]&gt;=6),"Low Engagement","")</f>
        <v/>
      </c>
      <c r="P35" s="18" t="str">
        <f>IF(Table1345[[#This Row],[Age]]&lt;30,"Youth",IF(Table1345[[#This Row],[Age]]&lt;45,"Adult",IF(Table1345[[#This Row],[Age]]&gt;46,"Senior")))</f>
        <v>Youth</v>
      </c>
    </row>
    <row r="36" spans="1:17" ht="15.75" customHeight="1" x14ac:dyDescent="0.3">
      <c r="A36" s="1" t="s">
        <v>105</v>
      </c>
      <c r="B36" s="1" t="s">
        <v>106</v>
      </c>
      <c r="C36" s="37">
        <v>27</v>
      </c>
      <c r="D36" s="1" t="s">
        <v>27</v>
      </c>
      <c r="E36" s="1" t="s">
        <v>22</v>
      </c>
      <c r="F36" s="39">
        <v>45312</v>
      </c>
      <c r="G36" s="31">
        <v>45652</v>
      </c>
      <c r="H36" s="29">
        <v>1200</v>
      </c>
      <c r="I36" s="29">
        <v>27</v>
      </c>
      <c r="J36" s="1" t="s">
        <v>18</v>
      </c>
      <c r="L36" s="3">
        <f>INT((Table1345[[#This Row],[End_Date]]-Table1345[[#This Row],[Start_Date]])/30)</f>
        <v>11</v>
      </c>
      <c r="M36" s="3" t="str">
        <f>IF(Table1345[[#This Row],[Referred_By]]&lt;&gt;"","Yes","No")</f>
        <v>No</v>
      </c>
      <c r="N36" s="3">
        <f>Table1345[[#This Row],[Monthly_Fee]]*Table1345[[#This Row],[Membership_Duration_M]]</f>
        <v>13200</v>
      </c>
      <c r="O36" t="str">
        <f>IF(AND(Table1345[[#This Row],[Attendance]]&lt;8,Table1345[[#This Row],[Membership_Duration_M]]&gt;=6),"Low Engagement","")</f>
        <v/>
      </c>
      <c r="P36" s="18" t="str">
        <f>IF(Table1345[[#This Row],[Age]]&lt;30,"Youth",IF(Table1345[[#This Row],[Age]]&lt;45,"Adult",IF(Table1345[[#This Row],[Age]]&gt;46,"Senior")))</f>
        <v>Youth</v>
      </c>
    </row>
    <row r="37" spans="1:17" ht="15.75" customHeight="1" x14ac:dyDescent="0.3"/>
    <row r="38" spans="1:17" ht="15.75" customHeight="1" x14ac:dyDescent="0.3">
      <c r="B38" s="25" t="s">
        <v>126</v>
      </c>
      <c r="C38" s="25"/>
      <c r="D38" s="25"/>
      <c r="E38" s="25"/>
      <c r="F38" s="25"/>
      <c r="G38" s="25"/>
      <c r="H38" s="25"/>
      <c r="I38" s="25"/>
      <c r="J38" s="25"/>
      <c r="K38" s="25"/>
      <c r="L38" s="25"/>
      <c r="M38" s="24"/>
      <c r="N38" s="24"/>
      <c r="O38" s="24"/>
      <c r="P38" s="24"/>
    </row>
    <row r="39" spans="1:17" ht="15.75" customHeight="1" x14ac:dyDescent="0.3">
      <c r="B39" s="25"/>
      <c r="C39" s="25"/>
      <c r="D39" s="25"/>
      <c r="E39" s="25"/>
      <c r="F39" s="25"/>
      <c r="G39" s="25"/>
      <c r="H39" s="25"/>
      <c r="I39" s="25"/>
      <c r="J39" s="25"/>
      <c r="K39" s="25"/>
      <c r="L39" s="25"/>
      <c r="M39" s="24"/>
      <c r="N39" s="24"/>
      <c r="O39" s="24"/>
      <c r="P39" s="24"/>
    </row>
    <row r="40" spans="1:17" ht="15.75" customHeight="1" x14ac:dyDescent="0.3"/>
    <row r="41" spans="1:17" ht="15.75" customHeight="1" x14ac:dyDescent="0.3"/>
    <row r="42" spans="1:17" ht="14.4" x14ac:dyDescent="0.3"/>
    <row r="43" spans="1:17" ht="33" customHeight="1" x14ac:dyDescent="0.3">
      <c r="B43" s="26"/>
      <c r="C43" s="26"/>
      <c r="D43" s="26"/>
      <c r="E43" s="27" t="s">
        <v>127</v>
      </c>
      <c r="F43" s="27"/>
      <c r="G43" s="27"/>
      <c r="H43" s="27"/>
      <c r="I43" s="27"/>
      <c r="J43" s="27"/>
      <c r="K43" s="27"/>
      <c r="L43" s="27"/>
      <c r="M43" s="27"/>
      <c r="N43" s="27"/>
      <c r="O43" s="27"/>
      <c r="P43" s="27"/>
      <c r="Q43" s="27"/>
    </row>
    <row r="44" spans="1:17" ht="15.75" customHeight="1" x14ac:dyDescent="0.3"/>
    <row r="45" spans="1:17" ht="15.75" customHeight="1" x14ac:dyDescent="0.3"/>
    <row r="46" spans="1:17" ht="15.75" customHeight="1" x14ac:dyDescent="0.3"/>
    <row r="47" spans="1:17" ht="15.75" customHeight="1" x14ac:dyDescent="0.3">
      <c r="B47" s="33" t="s">
        <v>107</v>
      </c>
      <c r="C47" s="33" t="s">
        <v>0</v>
      </c>
      <c r="D47" s="34" t="s">
        <v>1</v>
      </c>
      <c r="E47" s="33" t="s">
        <v>2</v>
      </c>
      <c r="F47" s="33" t="s">
        <v>3</v>
      </c>
      <c r="G47" s="35" t="s">
        <v>4</v>
      </c>
      <c r="H47" s="35" t="s">
        <v>5</v>
      </c>
      <c r="I47" s="34" t="s">
        <v>6</v>
      </c>
      <c r="J47" s="34" t="s">
        <v>7</v>
      </c>
      <c r="K47" s="33" t="s">
        <v>8</v>
      </c>
      <c r="L47" s="33" t="s">
        <v>9</v>
      </c>
      <c r="M47" s="34" t="s">
        <v>125</v>
      </c>
    </row>
    <row r="48" spans="1:17" ht="15.75" customHeight="1" x14ac:dyDescent="0.3">
      <c r="B48" s="33" t="s">
        <v>10</v>
      </c>
      <c r="C48" s="33" t="s">
        <v>11</v>
      </c>
      <c r="D48" s="34">
        <v>59</v>
      </c>
      <c r="E48" s="33" t="s">
        <v>12</v>
      </c>
      <c r="F48" s="33" t="s">
        <v>13</v>
      </c>
      <c r="G48" s="35">
        <v>45235</v>
      </c>
      <c r="H48" s="35">
        <v>45425</v>
      </c>
      <c r="I48" s="34">
        <v>800</v>
      </c>
      <c r="J48" s="34">
        <v>25</v>
      </c>
      <c r="K48" s="33" t="s">
        <v>14</v>
      </c>
      <c r="L48" s="33" t="s">
        <v>15</v>
      </c>
      <c r="M48" s="34">
        <v>6</v>
      </c>
    </row>
    <row r="49" spans="2:13" ht="15.75" customHeight="1" x14ac:dyDescent="0.3">
      <c r="B49" s="33" t="s">
        <v>16</v>
      </c>
      <c r="C49" s="33" t="s">
        <v>17</v>
      </c>
      <c r="D49" s="34">
        <v>27</v>
      </c>
      <c r="E49" s="33" t="s">
        <v>12</v>
      </c>
      <c r="F49" s="33" t="s">
        <v>13</v>
      </c>
      <c r="G49" s="35">
        <v>45714</v>
      </c>
      <c r="H49" s="35">
        <v>45740</v>
      </c>
      <c r="I49" s="34">
        <v>800</v>
      </c>
      <c r="J49" s="34">
        <v>20</v>
      </c>
      <c r="K49" s="33" t="s">
        <v>18</v>
      </c>
      <c r="L49" s="33" t="s">
        <v>19</v>
      </c>
      <c r="M49" s="34">
        <v>0</v>
      </c>
    </row>
    <row r="50" spans="2:13" ht="15.75" customHeight="1" x14ac:dyDescent="0.3">
      <c r="B50" s="33" t="s">
        <v>20</v>
      </c>
      <c r="C50" s="33" t="s">
        <v>21</v>
      </c>
      <c r="D50" s="34">
        <v>24</v>
      </c>
      <c r="E50" s="33" t="s">
        <v>12</v>
      </c>
      <c r="F50" s="33" t="s">
        <v>22</v>
      </c>
      <c r="G50" s="35">
        <v>45191</v>
      </c>
      <c r="H50" s="35">
        <v>45371</v>
      </c>
      <c r="I50" s="34">
        <v>1200</v>
      </c>
      <c r="J50" s="34">
        <v>18</v>
      </c>
      <c r="K50" s="33" t="s">
        <v>23</v>
      </c>
      <c r="L50" s="33" t="s">
        <v>24</v>
      </c>
      <c r="M50" s="34">
        <v>6</v>
      </c>
    </row>
    <row r="51" spans="2:13" ht="15.75" customHeight="1" x14ac:dyDescent="0.3">
      <c r="B51" s="33" t="s">
        <v>25</v>
      </c>
      <c r="C51" s="33" t="s">
        <v>26</v>
      </c>
      <c r="D51" s="34">
        <v>31</v>
      </c>
      <c r="E51" s="33" t="s">
        <v>27</v>
      </c>
      <c r="F51" s="33" t="s">
        <v>22</v>
      </c>
      <c r="G51" s="35">
        <v>45479</v>
      </c>
      <c r="H51" s="35">
        <v>45587</v>
      </c>
      <c r="I51" s="34">
        <v>1200</v>
      </c>
      <c r="J51" s="34">
        <v>16</v>
      </c>
      <c r="K51" s="33" t="s">
        <v>23</v>
      </c>
      <c r="L51" s="33" t="s">
        <v>28</v>
      </c>
      <c r="M51" s="34">
        <v>3</v>
      </c>
    </row>
    <row r="52" spans="2:13" ht="15.75" customHeight="1" x14ac:dyDescent="0.3">
      <c r="B52" s="33" t="s">
        <v>29</v>
      </c>
      <c r="C52" s="33" t="s">
        <v>30</v>
      </c>
      <c r="D52" s="34">
        <v>19</v>
      </c>
      <c r="E52" s="33" t="s">
        <v>12</v>
      </c>
      <c r="F52" s="33" t="s">
        <v>31</v>
      </c>
      <c r="G52" s="35">
        <v>45286</v>
      </c>
      <c r="H52" s="35">
        <v>45501</v>
      </c>
      <c r="I52" s="34">
        <v>2500</v>
      </c>
      <c r="J52" s="34">
        <v>12</v>
      </c>
      <c r="K52" s="33" t="s">
        <v>14</v>
      </c>
      <c r="L52" s="33" t="s">
        <v>32</v>
      </c>
      <c r="M52" s="34">
        <v>7</v>
      </c>
    </row>
    <row r="53" spans="2:13" ht="15.75" customHeight="1" x14ac:dyDescent="0.3">
      <c r="B53" s="33" t="s">
        <v>33</v>
      </c>
      <c r="C53" s="33" t="s">
        <v>34</v>
      </c>
      <c r="D53" s="34">
        <v>40</v>
      </c>
      <c r="E53" s="33" t="s">
        <v>12</v>
      </c>
      <c r="F53" s="33" t="s">
        <v>13</v>
      </c>
      <c r="G53" s="35">
        <v>45317</v>
      </c>
      <c r="H53" s="35">
        <v>45392</v>
      </c>
      <c r="I53" s="34">
        <v>800</v>
      </c>
      <c r="J53" s="34">
        <v>14</v>
      </c>
      <c r="K53" s="33" t="s">
        <v>35</v>
      </c>
      <c r="L53" s="33" t="s">
        <v>36</v>
      </c>
      <c r="M53" s="34">
        <v>2</v>
      </c>
    </row>
    <row r="54" spans="2:13" ht="15.75" customHeight="1" x14ac:dyDescent="0.3">
      <c r="B54" s="33" t="s">
        <v>37</v>
      </c>
      <c r="C54" s="33" t="s">
        <v>38</v>
      </c>
      <c r="D54" s="34">
        <v>41</v>
      </c>
      <c r="E54" s="33" t="s">
        <v>27</v>
      </c>
      <c r="F54" s="33" t="s">
        <v>13</v>
      </c>
      <c r="G54" s="35">
        <v>45588</v>
      </c>
      <c r="H54" s="35">
        <v>45677</v>
      </c>
      <c r="I54" s="34">
        <v>800</v>
      </c>
      <c r="J54" s="34">
        <v>25</v>
      </c>
      <c r="K54" s="33" t="s">
        <v>18</v>
      </c>
      <c r="L54" s="33"/>
      <c r="M54" s="34">
        <v>2</v>
      </c>
    </row>
    <row r="55" spans="2:13" ht="15.75" customHeight="1" x14ac:dyDescent="0.3">
      <c r="B55" s="33" t="s">
        <v>39</v>
      </c>
      <c r="C55" s="33" t="s">
        <v>40</v>
      </c>
      <c r="D55" s="34">
        <v>43</v>
      </c>
      <c r="E55" s="33" t="s">
        <v>12</v>
      </c>
      <c r="F55" s="33" t="s">
        <v>41</v>
      </c>
      <c r="G55" s="35">
        <v>45450</v>
      </c>
      <c r="H55" s="35">
        <v>45563</v>
      </c>
      <c r="I55" s="34">
        <v>1800</v>
      </c>
      <c r="J55" s="34">
        <v>28</v>
      </c>
      <c r="K55" s="33" t="s">
        <v>42</v>
      </c>
      <c r="L55" s="33"/>
      <c r="M55" s="34">
        <v>3</v>
      </c>
    </row>
    <row r="56" spans="2:13" ht="15.75" customHeight="1" x14ac:dyDescent="0.3">
      <c r="B56" s="33" t="s">
        <v>43</v>
      </c>
      <c r="C56" s="33" t="s">
        <v>44</v>
      </c>
      <c r="D56" s="34">
        <v>42</v>
      </c>
      <c r="E56" s="33" t="s">
        <v>12</v>
      </c>
      <c r="F56" s="33" t="s">
        <v>13</v>
      </c>
      <c r="G56" s="35">
        <v>45569</v>
      </c>
      <c r="H56" s="35">
        <v>45582</v>
      </c>
      <c r="I56" s="34">
        <v>800</v>
      </c>
      <c r="J56" s="34">
        <v>3</v>
      </c>
      <c r="K56" s="33" t="s">
        <v>42</v>
      </c>
      <c r="L56" s="33" t="s">
        <v>45</v>
      </c>
      <c r="M56" s="34">
        <v>0</v>
      </c>
    </row>
    <row r="57" spans="2:13" ht="15.75" customHeight="1" x14ac:dyDescent="0.3">
      <c r="B57" s="33" t="s">
        <v>46</v>
      </c>
      <c r="C57" s="33" t="s">
        <v>47</v>
      </c>
      <c r="D57" s="34">
        <v>37</v>
      </c>
      <c r="E57" s="33" t="s">
        <v>12</v>
      </c>
      <c r="F57" s="33" t="s">
        <v>22</v>
      </c>
      <c r="G57" s="35">
        <v>45202</v>
      </c>
      <c r="H57" s="35">
        <v>45280</v>
      </c>
      <c r="I57" s="34">
        <v>1200</v>
      </c>
      <c r="J57" s="34">
        <v>29</v>
      </c>
      <c r="K57" s="33" t="s">
        <v>35</v>
      </c>
      <c r="L57" s="33" t="s">
        <v>48</v>
      </c>
      <c r="M57" s="34">
        <v>2</v>
      </c>
    </row>
    <row r="58" spans="2:13" ht="15.75" customHeight="1" x14ac:dyDescent="0.3">
      <c r="B58" s="33" t="s">
        <v>49</v>
      </c>
      <c r="C58" s="33" t="s">
        <v>50</v>
      </c>
      <c r="D58" s="34">
        <v>48</v>
      </c>
      <c r="E58" s="33" t="s">
        <v>27</v>
      </c>
      <c r="F58" s="33" t="s">
        <v>22</v>
      </c>
      <c r="G58" s="35">
        <v>45297</v>
      </c>
      <c r="H58" s="35">
        <v>45459</v>
      </c>
      <c r="I58" s="34">
        <v>1200</v>
      </c>
      <c r="J58" s="34">
        <v>13</v>
      </c>
      <c r="K58" s="33" t="s">
        <v>14</v>
      </c>
      <c r="L58" s="33" t="s">
        <v>51</v>
      </c>
      <c r="M58" s="34">
        <v>5</v>
      </c>
    </row>
    <row r="59" spans="2:13" ht="15.75" customHeight="1" x14ac:dyDescent="0.3">
      <c r="B59" s="33" t="s">
        <v>52</v>
      </c>
      <c r="C59" s="33" t="s">
        <v>53</v>
      </c>
      <c r="D59" s="34">
        <v>36</v>
      </c>
      <c r="E59" s="33" t="s">
        <v>12</v>
      </c>
      <c r="F59" s="33" t="s">
        <v>22</v>
      </c>
      <c r="G59" s="35">
        <v>45154</v>
      </c>
      <c r="H59" s="35">
        <v>45568</v>
      </c>
      <c r="I59" s="34">
        <v>1200</v>
      </c>
      <c r="J59" s="34">
        <v>19</v>
      </c>
      <c r="K59" s="33" t="s">
        <v>42</v>
      </c>
      <c r="L59" s="33" t="s">
        <v>54</v>
      </c>
      <c r="M59" s="34">
        <v>13</v>
      </c>
    </row>
    <row r="60" spans="2:13" ht="15.75" customHeight="1" x14ac:dyDescent="0.3">
      <c r="B60" s="33" t="s">
        <v>55</v>
      </c>
      <c r="C60" s="33" t="s">
        <v>56</v>
      </c>
      <c r="D60" s="34">
        <v>48</v>
      </c>
      <c r="E60" s="33" t="s">
        <v>27</v>
      </c>
      <c r="F60" s="33" t="s">
        <v>41</v>
      </c>
      <c r="G60" s="35">
        <v>45556</v>
      </c>
      <c r="H60" s="35">
        <v>45641</v>
      </c>
      <c r="I60" s="34">
        <v>1800</v>
      </c>
      <c r="J60" s="34">
        <v>22</v>
      </c>
      <c r="K60" s="33" t="s">
        <v>42</v>
      </c>
      <c r="L60" s="33"/>
      <c r="M60" s="34">
        <v>2</v>
      </c>
    </row>
    <row r="61" spans="2:13" ht="15.75" customHeight="1" x14ac:dyDescent="0.3">
      <c r="B61" s="33" t="s">
        <v>57</v>
      </c>
      <c r="C61" s="33" t="s">
        <v>58</v>
      </c>
      <c r="D61" s="34">
        <v>39</v>
      </c>
      <c r="E61" s="33" t="s">
        <v>12</v>
      </c>
      <c r="F61" s="33" t="s">
        <v>22</v>
      </c>
      <c r="G61" s="35">
        <v>45065</v>
      </c>
      <c r="H61" s="35">
        <v>45242</v>
      </c>
      <c r="I61" s="34">
        <v>1200</v>
      </c>
      <c r="J61" s="34">
        <v>28</v>
      </c>
      <c r="K61" s="33" t="s">
        <v>35</v>
      </c>
      <c r="L61" s="33"/>
      <c r="M61" s="34">
        <v>5</v>
      </c>
    </row>
    <row r="62" spans="2:13" ht="15.75" customHeight="1" x14ac:dyDescent="0.3">
      <c r="B62" s="33" t="s">
        <v>59</v>
      </c>
      <c r="C62" s="33" t="s">
        <v>60</v>
      </c>
      <c r="D62" s="34">
        <v>44</v>
      </c>
      <c r="E62" s="33" t="s">
        <v>27</v>
      </c>
      <c r="F62" s="33" t="s">
        <v>13</v>
      </c>
      <c r="G62" s="35">
        <v>45333</v>
      </c>
      <c r="H62" s="35">
        <v>45540</v>
      </c>
      <c r="I62" s="34">
        <v>800</v>
      </c>
      <c r="J62" s="34">
        <v>8</v>
      </c>
      <c r="K62" s="33" t="s">
        <v>23</v>
      </c>
      <c r="L62" s="33"/>
      <c r="M62" s="34">
        <v>6</v>
      </c>
    </row>
    <row r="63" spans="2:13" ht="15.75" customHeight="1" x14ac:dyDescent="0.3">
      <c r="B63" s="33" t="s">
        <v>61</v>
      </c>
      <c r="C63" s="33" t="s">
        <v>62</v>
      </c>
      <c r="D63" s="34">
        <v>39</v>
      </c>
      <c r="E63" s="33" t="s">
        <v>12</v>
      </c>
      <c r="F63" s="33" t="s">
        <v>31</v>
      </c>
      <c r="G63" s="35">
        <v>45702</v>
      </c>
      <c r="H63" s="35">
        <v>45732</v>
      </c>
      <c r="I63" s="34">
        <v>2500</v>
      </c>
      <c r="J63" s="34">
        <v>14</v>
      </c>
      <c r="K63" s="33" t="s">
        <v>42</v>
      </c>
      <c r="L63" s="33"/>
      <c r="M63" s="34">
        <v>1</v>
      </c>
    </row>
    <row r="64" spans="2:13" ht="15.75" customHeight="1" x14ac:dyDescent="0.3">
      <c r="B64" s="33" t="s">
        <v>63</v>
      </c>
      <c r="C64" s="33" t="s">
        <v>64</v>
      </c>
      <c r="D64" s="34">
        <v>35</v>
      </c>
      <c r="E64" s="33" t="s">
        <v>12</v>
      </c>
      <c r="F64" s="33" t="s">
        <v>22</v>
      </c>
      <c r="G64" s="35">
        <v>45329</v>
      </c>
      <c r="H64" s="35">
        <v>45685</v>
      </c>
      <c r="I64" s="34">
        <v>1200</v>
      </c>
      <c r="J64" s="34">
        <v>25</v>
      </c>
      <c r="K64" s="33" t="s">
        <v>23</v>
      </c>
      <c r="L64" s="33"/>
      <c r="M64" s="34">
        <v>11</v>
      </c>
    </row>
    <row r="65" spans="2:16" ht="15.75" customHeight="1" x14ac:dyDescent="0.3">
      <c r="B65" s="33" t="s">
        <v>65</v>
      </c>
      <c r="C65" s="33" t="s">
        <v>66</v>
      </c>
      <c r="D65" s="34">
        <v>56</v>
      </c>
      <c r="E65" s="33" t="s">
        <v>27</v>
      </c>
      <c r="F65" s="33" t="s">
        <v>31</v>
      </c>
      <c r="G65" s="35">
        <v>45213</v>
      </c>
      <c r="H65" s="35">
        <v>45649</v>
      </c>
      <c r="I65" s="34">
        <v>2500</v>
      </c>
      <c r="J65" s="34">
        <v>13</v>
      </c>
      <c r="K65" s="33" t="s">
        <v>67</v>
      </c>
      <c r="L65" s="33"/>
      <c r="M65" s="34">
        <v>14</v>
      </c>
    </row>
    <row r="66" spans="2:16" ht="15.75" customHeight="1" x14ac:dyDescent="0.3">
      <c r="B66" s="33" t="s">
        <v>68</v>
      </c>
      <c r="C66" s="33" t="s">
        <v>69</v>
      </c>
      <c r="D66" s="34">
        <v>27</v>
      </c>
      <c r="E66" s="33" t="s">
        <v>27</v>
      </c>
      <c r="F66" s="33" t="s">
        <v>13</v>
      </c>
      <c r="G66" s="35">
        <v>45354</v>
      </c>
      <c r="H66" s="35">
        <v>45664</v>
      </c>
      <c r="I66" s="34">
        <v>800</v>
      </c>
      <c r="J66" s="34">
        <v>26</v>
      </c>
      <c r="K66" s="33" t="s">
        <v>35</v>
      </c>
      <c r="L66" s="33"/>
      <c r="M66" s="34">
        <v>10</v>
      </c>
    </row>
    <row r="67" spans="2:16" ht="15.75" customHeight="1" x14ac:dyDescent="0.3">
      <c r="B67" s="33" t="s">
        <v>70</v>
      </c>
      <c r="C67" s="33" t="s">
        <v>71</v>
      </c>
      <c r="D67" s="34">
        <v>28</v>
      </c>
      <c r="E67" s="33" t="s">
        <v>12</v>
      </c>
      <c r="F67" s="33" t="s">
        <v>31</v>
      </c>
      <c r="G67" s="35">
        <v>45417</v>
      </c>
      <c r="H67" s="35">
        <v>45608</v>
      </c>
      <c r="I67" s="34">
        <v>2500</v>
      </c>
      <c r="J67" s="34">
        <v>21</v>
      </c>
      <c r="K67" s="33" t="s">
        <v>35</v>
      </c>
      <c r="L67" s="33" t="s">
        <v>72</v>
      </c>
      <c r="M67" s="34">
        <v>6</v>
      </c>
      <c r="P67" s="17"/>
    </row>
    <row r="68" spans="2:16" ht="15.75" customHeight="1" x14ac:dyDescent="0.3">
      <c r="B68" s="33" t="s">
        <v>73</v>
      </c>
      <c r="C68" s="33" t="s">
        <v>74</v>
      </c>
      <c r="D68" s="34">
        <v>57</v>
      </c>
      <c r="E68" s="33" t="s">
        <v>27</v>
      </c>
      <c r="F68" s="33" t="s">
        <v>41</v>
      </c>
      <c r="G68" s="35">
        <v>45146</v>
      </c>
      <c r="H68" s="35">
        <v>45674</v>
      </c>
      <c r="I68" s="34">
        <v>1800</v>
      </c>
      <c r="J68" s="34">
        <v>19</v>
      </c>
      <c r="K68" s="33" t="s">
        <v>35</v>
      </c>
      <c r="L68" s="33"/>
      <c r="M68" s="34">
        <v>17</v>
      </c>
    </row>
    <row r="69" spans="2:16" ht="15.75" customHeight="1" x14ac:dyDescent="0.3">
      <c r="B69" s="33" t="s">
        <v>75</v>
      </c>
      <c r="C69" s="33" t="s">
        <v>76</v>
      </c>
      <c r="D69" s="34">
        <v>26</v>
      </c>
      <c r="E69" s="33" t="s">
        <v>27</v>
      </c>
      <c r="F69" s="33" t="s">
        <v>41</v>
      </c>
      <c r="G69" s="35">
        <v>45320</v>
      </c>
      <c r="H69" s="35">
        <v>45616</v>
      </c>
      <c r="I69" s="34">
        <v>1800</v>
      </c>
      <c r="J69" s="34">
        <v>5</v>
      </c>
      <c r="K69" s="33" t="s">
        <v>14</v>
      </c>
      <c r="L69" s="33"/>
      <c r="M69" s="34">
        <v>9</v>
      </c>
    </row>
    <row r="70" spans="2:16" ht="15.75" customHeight="1" x14ac:dyDescent="0.3">
      <c r="B70" s="33" t="s">
        <v>77</v>
      </c>
      <c r="C70" s="33" t="s">
        <v>78</v>
      </c>
      <c r="D70" s="34">
        <v>48</v>
      </c>
      <c r="E70" s="33" t="s">
        <v>12</v>
      </c>
      <c r="F70" s="33" t="s">
        <v>41</v>
      </c>
      <c r="G70" s="35">
        <v>45451</v>
      </c>
      <c r="H70" s="35">
        <v>45455</v>
      </c>
      <c r="I70" s="34">
        <v>1800</v>
      </c>
      <c r="J70" s="34">
        <v>18</v>
      </c>
      <c r="K70" s="33" t="s">
        <v>67</v>
      </c>
      <c r="L70" s="33"/>
      <c r="M70" s="34">
        <v>0</v>
      </c>
    </row>
    <row r="71" spans="2:16" ht="15.75" customHeight="1" x14ac:dyDescent="0.3">
      <c r="B71" s="33" t="s">
        <v>79</v>
      </c>
      <c r="C71" s="33" t="s">
        <v>80</v>
      </c>
      <c r="D71" s="34">
        <v>25</v>
      </c>
      <c r="E71" s="33" t="s">
        <v>27</v>
      </c>
      <c r="F71" s="33" t="s">
        <v>22</v>
      </c>
      <c r="G71" s="35">
        <v>45439</v>
      </c>
      <c r="H71" s="35">
        <v>45730</v>
      </c>
      <c r="I71" s="34">
        <v>1200</v>
      </c>
      <c r="J71" s="34">
        <v>6</v>
      </c>
      <c r="K71" s="33" t="s">
        <v>14</v>
      </c>
      <c r="L71" s="33"/>
      <c r="M71" s="34">
        <v>9</v>
      </c>
    </row>
    <row r="72" spans="2:16" ht="15.75" customHeight="1" x14ac:dyDescent="0.3">
      <c r="B72" s="33" t="s">
        <v>81</v>
      </c>
      <c r="C72" s="33" t="s">
        <v>82</v>
      </c>
      <c r="D72" s="34">
        <v>53</v>
      </c>
      <c r="E72" s="33" t="s">
        <v>12</v>
      </c>
      <c r="F72" s="33" t="s">
        <v>41</v>
      </c>
      <c r="G72" s="35">
        <v>45286</v>
      </c>
      <c r="H72" s="35">
        <v>45372</v>
      </c>
      <c r="I72" s="34">
        <v>1800</v>
      </c>
      <c r="J72" s="34">
        <v>17</v>
      </c>
      <c r="K72" s="33" t="s">
        <v>35</v>
      </c>
      <c r="L72" s="33" t="s">
        <v>83</v>
      </c>
      <c r="M72" s="34">
        <v>2</v>
      </c>
    </row>
    <row r="73" spans="2:16" ht="15.75" customHeight="1" x14ac:dyDescent="0.3">
      <c r="B73" s="33" t="s">
        <v>84</v>
      </c>
      <c r="C73" s="33" t="s">
        <v>85</v>
      </c>
      <c r="D73" s="34">
        <v>42</v>
      </c>
      <c r="E73" s="33" t="s">
        <v>27</v>
      </c>
      <c r="F73" s="33" t="s">
        <v>22</v>
      </c>
      <c r="G73" s="35">
        <v>45702</v>
      </c>
      <c r="H73" s="35">
        <v>45727</v>
      </c>
      <c r="I73" s="34">
        <v>1200</v>
      </c>
      <c r="J73" s="34">
        <v>3</v>
      </c>
      <c r="K73" s="33" t="s">
        <v>67</v>
      </c>
      <c r="L73" s="33"/>
      <c r="M73" s="34">
        <v>0</v>
      </c>
    </row>
    <row r="74" spans="2:16" ht="15.75" customHeight="1" x14ac:dyDescent="0.3">
      <c r="B74" s="33" t="s">
        <v>86</v>
      </c>
      <c r="C74" s="33" t="s">
        <v>87</v>
      </c>
      <c r="D74" s="34">
        <v>24</v>
      </c>
      <c r="E74" s="33" t="s">
        <v>12</v>
      </c>
      <c r="F74" s="33" t="s">
        <v>31</v>
      </c>
      <c r="G74" s="35">
        <v>45698</v>
      </c>
      <c r="H74" s="35">
        <v>45726</v>
      </c>
      <c r="I74" s="34">
        <v>2500</v>
      </c>
      <c r="J74" s="34">
        <v>28</v>
      </c>
      <c r="K74" s="33" t="s">
        <v>35</v>
      </c>
      <c r="L74" s="33"/>
      <c r="M74" s="34">
        <v>0</v>
      </c>
    </row>
    <row r="75" spans="2:16" ht="15.75" customHeight="1" x14ac:dyDescent="0.3">
      <c r="B75" s="33" t="s">
        <v>88</v>
      </c>
      <c r="C75" s="33" t="s">
        <v>89</v>
      </c>
      <c r="D75" s="34">
        <v>53</v>
      </c>
      <c r="E75" s="33" t="s">
        <v>12</v>
      </c>
      <c r="F75" s="33" t="s">
        <v>22</v>
      </c>
      <c r="G75" s="35">
        <v>45614</v>
      </c>
      <c r="H75" s="35">
        <v>45645</v>
      </c>
      <c r="I75" s="34">
        <v>1200</v>
      </c>
      <c r="J75" s="34">
        <v>23</v>
      </c>
      <c r="K75" s="33" t="s">
        <v>18</v>
      </c>
      <c r="L75" s="33"/>
      <c r="M75" s="34">
        <v>1</v>
      </c>
    </row>
    <row r="76" spans="2:16" ht="15.75" customHeight="1" x14ac:dyDescent="0.3">
      <c r="B76" s="33" t="s">
        <v>90</v>
      </c>
      <c r="C76" s="33" t="s">
        <v>91</v>
      </c>
      <c r="D76" s="34">
        <v>29</v>
      </c>
      <c r="E76" s="33" t="s">
        <v>27</v>
      </c>
      <c r="F76" s="33" t="s">
        <v>31</v>
      </c>
      <c r="G76" s="35">
        <v>45401</v>
      </c>
      <c r="H76" s="35">
        <v>45408</v>
      </c>
      <c r="I76" s="34">
        <v>2500</v>
      </c>
      <c r="J76" s="34">
        <v>8</v>
      </c>
      <c r="K76" s="33" t="s">
        <v>23</v>
      </c>
      <c r="L76" s="33"/>
      <c r="M76" s="34">
        <v>0</v>
      </c>
    </row>
    <row r="77" spans="2:16" ht="15.75" customHeight="1" x14ac:dyDescent="0.3">
      <c r="B77" s="33" t="s">
        <v>92</v>
      </c>
      <c r="C77" s="33" t="s">
        <v>93</v>
      </c>
      <c r="D77" s="34">
        <v>31</v>
      </c>
      <c r="E77" s="33" t="s">
        <v>27</v>
      </c>
      <c r="F77" s="33" t="s">
        <v>31</v>
      </c>
      <c r="G77" s="35">
        <v>45667</v>
      </c>
      <c r="H77" s="35">
        <v>45745</v>
      </c>
      <c r="I77" s="34">
        <v>2500</v>
      </c>
      <c r="J77" s="34">
        <v>23</v>
      </c>
      <c r="K77" s="33" t="s">
        <v>42</v>
      </c>
      <c r="L77" s="33" t="s">
        <v>94</v>
      </c>
      <c r="M77" s="34">
        <v>2</v>
      </c>
    </row>
    <row r="78" spans="2:16" ht="15.75" customHeight="1" x14ac:dyDescent="0.3">
      <c r="B78" s="33" t="s">
        <v>95</v>
      </c>
      <c r="C78" s="33" t="s">
        <v>96</v>
      </c>
      <c r="D78" s="34">
        <v>52</v>
      </c>
      <c r="E78" s="33" t="s">
        <v>27</v>
      </c>
      <c r="F78" s="33" t="s">
        <v>13</v>
      </c>
      <c r="G78" s="35">
        <v>45088</v>
      </c>
      <c r="H78" s="35">
        <v>45656</v>
      </c>
      <c r="I78" s="34">
        <v>800</v>
      </c>
      <c r="J78" s="34">
        <v>9</v>
      </c>
      <c r="K78" s="33" t="s">
        <v>67</v>
      </c>
      <c r="L78" s="33" t="s">
        <v>97</v>
      </c>
      <c r="M78" s="34">
        <v>18</v>
      </c>
    </row>
    <row r="79" spans="2:16" ht="15.75" customHeight="1" x14ac:dyDescent="0.3">
      <c r="B79" s="33" t="s">
        <v>98</v>
      </c>
      <c r="C79" s="33" t="s">
        <v>99</v>
      </c>
      <c r="D79" s="34">
        <v>20</v>
      </c>
      <c r="E79" s="33" t="s">
        <v>12</v>
      </c>
      <c r="F79" s="33" t="s">
        <v>22</v>
      </c>
      <c r="G79" s="35">
        <v>45391</v>
      </c>
      <c r="H79" s="35">
        <v>45604</v>
      </c>
      <c r="I79" s="34">
        <v>1200</v>
      </c>
      <c r="J79" s="34">
        <v>2</v>
      </c>
      <c r="K79" s="33" t="s">
        <v>35</v>
      </c>
      <c r="L79" s="33"/>
      <c r="M79" s="34">
        <v>7</v>
      </c>
    </row>
    <row r="80" spans="2:16" ht="15.75" customHeight="1" x14ac:dyDescent="0.3">
      <c r="B80" s="33" t="s">
        <v>100</v>
      </c>
      <c r="C80" s="33" t="s">
        <v>101</v>
      </c>
      <c r="D80" s="34">
        <v>22</v>
      </c>
      <c r="E80" s="33" t="s">
        <v>12</v>
      </c>
      <c r="F80" s="33" t="s">
        <v>13</v>
      </c>
      <c r="G80" s="35">
        <v>45699</v>
      </c>
      <c r="H80" s="35">
        <v>45740</v>
      </c>
      <c r="I80" s="34">
        <v>800</v>
      </c>
      <c r="J80" s="34">
        <v>30</v>
      </c>
      <c r="K80" s="33" t="s">
        <v>35</v>
      </c>
      <c r="L80" s="33"/>
      <c r="M80" s="34">
        <v>1</v>
      </c>
    </row>
    <row r="81" spans="2:13" ht="15.75" customHeight="1" x14ac:dyDescent="0.3">
      <c r="B81" s="33" t="s">
        <v>102</v>
      </c>
      <c r="C81" s="33" t="s">
        <v>103</v>
      </c>
      <c r="D81" s="34">
        <v>23</v>
      </c>
      <c r="E81" s="33" t="s">
        <v>12</v>
      </c>
      <c r="F81" s="33" t="s">
        <v>41</v>
      </c>
      <c r="G81" s="35">
        <v>45588</v>
      </c>
      <c r="H81" s="35">
        <v>45721</v>
      </c>
      <c r="I81" s="34">
        <v>1800</v>
      </c>
      <c r="J81" s="34">
        <v>23</v>
      </c>
      <c r="K81" s="33" t="s">
        <v>18</v>
      </c>
      <c r="L81" s="33" t="s">
        <v>104</v>
      </c>
      <c r="M81" s="34">
        <v>4</v>
      </c>
    </row>
    <row r="82" spans="2:13" ht="15.75" customHeight="1" x14ac:dyDescent="0.3">
      <c r="B82" s="33" t="s">
        <v>105</v>
      </c>
      <c r="C82" s="33" t="s">
        <v>106</v>
      </c>
      <c r="D82" s="34">
        <v>27</v>
      </c>
      <c r="E82" s="33" t="s">
        <v>27</v>
      </c>
      <c r="F82" s="33" t="s">
        <v>22</v>
      </c>
      <c r="G82" s="35">
        <v>45312</v>
      </c>
      <c r="H82" s="35">
        <v>45652</v>
      </c>
      <c r="I82" s="34">
        <v>1200</v>
      </c>
      <c r="J82" s="34">
        <v>27</v>
      </c>
      <c r="K82" s="33" t="s">
        <v>18</v>
      </c>
      <c r="L82" s="33"/>
      <c r="M82" s="34">
        <v>11</v>
      </c>
    </row>
    <row r="83" spans="2:13" ht="15.75" customHeight="1" x14ac:dyDescent="0.3"/>
    <row r="84" spans="2:13" ht="15.75" customHeight="1" x14ac:dyDescent="0.3"/>
    <row r="85" spans="2:13" ht="15.75" customHeight="1" x14ac:dyDescent="0.3"/>
    <row r="86" spans="2:13" ht="15.75" customHeight="1" x14ac:dyDescent="0.3"/>
    <row r="87" spans="2:13" ht="15.75" customHeight="1" x14ac:dyDescent="0.3"/>
    <row r="88" spans="2:13" ht="15.75" customHeight="1" x14ac:dyDescent="0.3"/>
    <row r="89" spans="2:13" ht="15.75" customHeight="1" x14ac:dyDescent="0.3"/>
    <row r="90" spans="2:13" ht="15.75" customHeight="1" x14ac:dyDescent="0.3"/>
    <row r="91" spans="2:13" ht="15.75" customHeight="1" x14ac:dyDescent="0.3"/>
    <row r="92" spans="2:13" ht="15.75" customHeight="1" x14ac:dyDescent="0.3"/>
    <row r="93" spans="2:13" ht="15.75" customHeight="1" x14ac:dyDescent="0.3"/>
    <row r="94" spans="2:13" ht="15.75" customHeight="1" x14ac:dyDescent="0.3"/>
    <row r="95" spans="2:13" ht="15.75" customHeight="1" x14ac:dyDescent="0.3"/>
    <row r="96" spans="2:13"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sheetData>
  <conditionalFormatting sqref="P68:P102">
    <cfRule type="expression" priority="10">
      <formula>AND($I2&lt;8, $L2&gt;=6)</formula>
    </cfRule>
  </conditionalFormatting>
  <conditionalFormatting sqref="P89">
    <cfRule type="notContainsText" priority="21" operator="notContains" text="&quot;&quot;">
      <formula>ISERROR(SEARCH("""""",P89))</formula>
    </cfRule>
  </conditionalFormatting>
  <conditionalFormatting sqref="P99">
    <cfRule type="colorScale" priority="19">
      <colorScale>
        <cfvo type="formula" val="&quot;&quot;&quot;&quot;&quot;&quot;"/>
        <cfvo type="formula" val="&quot;&quot;&quot;&quot;&quot;&quot;"/>
        <color rgb="FFFF7128"/>
        <color rgb="FFFFEF9C"/>
      </colorScale>
    </cfRule>
    <cfRule type="notContainsText" priority="20" operator="notContains" text="&quot;&quot;">
      <formula>ISERROR(SEARCH("""""",P99))</formula>
    </cfRule>
  </conditionalFormatting>
  <conditionalFormatting sqref="A2:P36">
    <cfRule type="expression" priority="1">
      <formula>AND($I1048520&lt;8, $L1048520&gt;=6)</formula>
    </cfRule>
  </conditionalFormatting>
  <conditionalFormatting sqref="O23:P23">
    <cfRule type="notContainsText" priority="4" operator="notContains" text="&quot;&quot;">
      <formula>ISERROR(SEARCH("""""",O23))</formula>
    </cfRule>
  </conditionalFormatting>
  <conditionalFormatting sqref="O33:P33">
    <cfRule type="colorScale" priority="2">
      <colorScale>
        <cfvo type="formula" val="&quot;&quot;&quot;&quot;&quot;&quot;"/>
        <cfvo type="formula" val="&quot;&quot;&quot;&quot;&quot;&quot;"/>
        <color rgb="FFFF7128"/>
        <color rgb="FFFFEF9C"/>
      </colorScale>
    </cfRule>
    <cfRule type="notContainsText" priority="3" operator="notContains" text="&quot;&quot;">
      <formula>ISERROR(SEARCH("""""",O33))</formula>
    </cfRule>
  </conditionalFormatting>
  <pageMargins left="0.7" right="0.7" top="0.75" bottom="0.75" header="0" footer="0"/>
  <pageSetup orientation="landscape"/>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888C6-C8E3-44F5-94CC-E50E22911372}">
  <dimension ref="A2:L54"/>
  <sheetViews>
    <sheetView topLeftCell="A15" zoomScale="70" zoomScaleNormal="70" workbookViewId="0">
      <selection activeCell="H46" sqref="H46:I53"/>
    </sheetView>
  </sheetViews>
  <sheetFormatPr defaultRowHeight="14.4" x14ac:dyDescent="0.3"/>
  <cols>
    <col min="1" max="1" width="8.88671875" customWidth="1"/>
    <col min="2" max="2" width="20.88671875" customWidth="1"/>
    <col min="3" max="3" width="17.33203125" customWidth="1"/>
    <col min="4" max="4" width="25.109375" customWidth="1"/>
    <col min="6" max="6" width="14.21875" customWidth="1"/>
    <col min="7" max="7" width="13.21875" customWidth="1"/>
    <col min="8" max="8" width="19.44140625" customWidth="1"/>
    <col min="9" max="9" width="21.88671875" customWidth="1"/>
    <col min="10" max="10" width="15" customWidth="1"/>
    <col min="11" max="11" width="19" customWidth="1"/>
    <col min="12" max="12" width="15" customWidth="1"/>
  </cols>
  <sheetData>
    <row r="2" spans="1:12" ht="25.8" x14ac:dyDescent="0.5">
      <c r="A2" s="42"/>
      <c r="B2" s="42"/>
      <c r="C2" s="44" t="s">
        <v>128</v>
      </c>
      <c r="D2" s="44"/>
      <c r="E2" s="44"/>
      <c r="F2" s="44"/>
      <c r="G2" s="44"/>
      <c r="H2" s="44"/>
      <c r="I2" s="44"/>
      <c r="J2" s="44"/>
      <c r="K2" s="44"/>
      <c r="L2" s="44"/>
    </row>
    <row r="5" spans="1:12" x14ac:dyDescent="0.3">
      <c r="A5" s="41" t="s">
        <v>107</v>
      </c>
      <c r="B5" s="41" t="s">
        <v>0</v>
      </c>
      <c r="C5" s="43" t="s">
        <v>1</v>
      </c>
      <c r="D5" s="41" t="s">
        <v>2</v>
      </c>
      <c r="E5" s="41" t="s">
        <v>3</v>
      </c>
      <c r="F5" s="35" t="s">
        <v>4</v>
      </c>
      <c r="G5" s="35" t="s">
        <v>5</v>
      </c>
      <c r="H5" s="43" t="s">
        <v>6</v>
      </c>
      <c r="I5" s="43" t="s">
        <v>7</v>
      </c>
      <c r="J5" s="41" t="s">
        <v>8</v>
      </c>
      <c r="K5" s="41" t="s">
        <v>9</v>
      </c>
      <c r="L5" s="43" t="s">
        <v>125</v>
      </c>
    </row>
    <row r="6" spans="1:12" x14ac:dyDescent="0.3">
      <c r="A6" s="41" t="s">
        <v>10</v>
      </c>
      <c r="B6" s="41" t="s">
        <v>11</v>
      </c>
      <c r="C6" s="43">
        <v>59</v>
      </c>
      <c r="D6" s="41" t="s">
        <v>12</v>
      </c>
      <c r="E6" s="41" t="s">
        <v>13</v>
      </c>
      <c r="F6" s="35">
        <v>45235</v>
      </c>
      <c r="G6" s="35">
        <v>45425</v>
      </c>
      <c r="H6" s="43">
        <v>800</v>
      </c>
      <c r="I6" s="43">
        <v>25</v>
      </c>
      <c r="J6" s="41" t="s">
        <v>14</v>
      </c>
      <c r="K6" s="41" t="s">
        <v>15</v>
      </c>
      <c r="L6" s="43">
        <v>6</v>
      </c>
    </row>
    <row r="7" spans="1:12" x14ac:dyDescent="0.3">
      <c r="A7" s="41" t="s">
        <v>16</v>
      </c>
      <c r="B7" s="41" t="s">
        <v>17</v>
      </c>
      <c r="C7" s="43">
        <v>27</v>
      </c>
      <c r="D7" s="41" t="s">
        <v>12</v>
      </c>
      <c r="E7" s="41" t="s">
        <v>13</v>
      </c>
      <c r="F7" s="35">
        <v>45714</v>
      </c>
      <c r="G7" s="35">
        <v>45740</v>
      </c>
      <c r="H7" s="43">
        <v>800</v>
      </c>
      <c r="I7" s="43">
        <v>20</v>
      </c>
      <c r="J7" s="41" t="s">
        <v>18</v>
      </c>
      <c r="K7" s="41" t="s">
        <v>19</v>
      </c>
      <c r="L7" s="43">
        <v>0</v>
      </c>
    </row>
    <row r="8" spans="1:12" x14ac:dyDescent="0.3">
      <c r="A8" s="41" t="s">
        <v>20</v>
      </c>
      <c r="B8" s="41" t="s">
        <v>21</v>
      </c>
      <c r="C8" s="43">
        <v>24</v>
      </c>
      <c r="D8" s="41" t="s">
        <v>12</v>
      </c>
      <c r="E8" s="41" t="s">
        <v>22</v>
      </c>
      <c r="F8" s="35">
        <v>45191</v>
      </c>
      <c r="G8" s="35">
        <v>45371</v>
      </c>
      <c r="H8" s="43">
        <v>1200</v>
      </c>
      <c r="I8" s="43">
        <v>18</v>
      </c>
      <c r="J8" s="41" t="s">
        <v>23</v>
      </c>
      <c r="K8" s="41" t="s">
        <v>24</v>
      </c>
      <c r="L8" s="43">
        <v>6</v>
      </c>
    </row>
    <row r="9" spans="1:12" x14ac:dyDescent="0.3">
      <c r="A9" s="41" t="s">
        <v>25</v>
      </c>
      <c r="B9" s="41" t="s">
        <v>26</v>
      </c>
      <c r="C9" s="43">
        <v>31</v>
      </c>
      <c r="D9" s="41" t="s">
        <v>27</v>
      </c>
      <c r="E9" s="41" t="s">
        <v>22</v>
      </c>
      <c r="F9" s="35">
        <v>45479</v>
      </c>
      <c r="G9" s="35">
        <v>45587</v>
      </c>
      <c r="H9" s="43">
        <v>1200</v>
      </c>
      <c r="I9" s="43">
        <v>16</v>
      </c>
      <c r="J9" s="41" t="s">
        <v>23</v>
      </c>
      <c r="K9" s="41" t="s">
        <v>28</v>
      </c>
      <c r="L9" s="43">
        <v>3</v>
      </c>
    </row>
    <row r="10" spans="1:12" x14ac:dyDescent="0.3">
      <c r="A10" s="41" t="s">
        <v>29</v>
      </c>
      <c r="B10" s="41" t="s">
        <v>30</v>
      </c>
      <c r="C10" s="43">
        <v>19</v>
      </c>
      <c r="D10" s="41" t="s">
        <v>12</v>
      </c>
      <c r="E10" s="41" t="s">
        <v>31</v>
      </c>
      <c r="F10" s="35">
        <v>45286</v>
      </c>
      <c r="G10" s="35">
        <v>45501</v>
      </c>
      <c r="H10" s="43">
        <v>2500</v>
      </c>
      <c r="I10" s="43">
        <v>12</v>
      </c>
      <c r="J10" s="41" t="s">
        <v>14</v>
      </c>
      <c r="K10" s="41" t="s">
        <v>32</v>
      </c>
      <c r="L10" s="43">
        <v>7</v>
      </c>
    </row>
    <row r="11" spans="1:12" x14ac:dyDescent="0.3">
      <c r="A11" s="41" t="s">
        <v>33</v>
      </c>
      <c r="B11" s="41" t="s">
        <v>34</v>
      </c>
      <c r="C11" s="43">
        <v>40</v>
      </c>
      <c r="D11" s="41" t="s">
        <v>12</v>
      </c>
      <c r="E11" s="41" t="s">
        <v>13</v>
      </c>
      <c r="F11" s="35">
        <v>45317</v>
      </c>
      <c r="G11" s="35">
        <v>45392</v>
      </c>
      <c r="H11" s="43">
        <v>800</v>
      </c>
      <c r="I11" s="43">
        <v>14</v>
      </c>
      <c r="J11" s="41" t="s">
        <v>35</v>
      </c>
      <c r="K11" s="41" t="s">
        <v>36</v>
      </c>
      <c r="L11" s="43">
        <v>2</v>
      </c>
    </row>
    <row r="12" spans="1:12" x14ac:dyDescent="0.3">
      <c r="A12" s="41" t="s">
        <v>37</v>
      </c>
      <c r="B12" s="41" t="s">
        <v>38</v>
      </c>
      <c r="C12" s="43">
        <v>41</v>
      </c>
      <c r="D12" s="41" t="s">
        <v>27</v>
      </c>
      <c r="E12" s="41" t="s">
        <v>13</v>
      </c>
      <c r="F12" s="35">
        <v>45588</v>
      </c>
      <c r="G12" s="35">
        <v>45677</v>
      </c>
      <c r="H12" s="43">
        <v>800</v>
      </c>
      <c r="I12" s="43">
        <v>25</v>
      </c>
      <c r="J12" s="41" t="s">
        <v>18</v>
      </c>
      <c r="K12" s="41"/>
      <c r="L12" s="43">
        <v>2</v>
      </c>
    </row>
    <row r="13" spans="1:12" x14ac:dyDescent="0.3">
      <c r="A13" s="41" t="s">
        <v>39</v>
      </c>
      <c r="B13" s="41" t="s">
        <v>40</v>
      </c>
      <c r="C13" s="43">
        <v>43</v>
      </c>
      <c r="D13" s="41" t="s">
        <v>12</v>
      </c>
      <c r="E13" s="41" t="s">
        <v>41</v>
      </c>
      <c r="F13" s="35">
        <v>45450</v>
      </c>
      <c r="G13" s="35">
        <v>45563</v>
      </c>
      <c r="H13" s="43">
        <v>1800</v>
      </c>
      <c r="I13" s="43">
        <v>28</v>
      </c>
      <c r="J13" s="41" t="s">
        <v>42</v>
      </c>
      <c r="K13" s="41"/>
      <c r="L13" s="43">
        <v>3</v>
      </c>
    </row>
    <row r="14" spans="1:12" x14ac:dyDescent="0.3">
      <c r="A14" s="41" t="s">
        <v>43</v>
      </c>
      <c r="B14" s="41" t="s">
        <v>44</v>
      </c>
      <c r="C14" s="43">
        <v>42</v>
      </c>
      <c r="D14" s="41" t="s">
        <v>12</v>
      </c>
      <c r="E14" s="41" t="s">
        <v>13</v>
      </c>
      <c r="F14" s="35">
        <v>45569</v>
      </c>
      <c r="G14" s="35">
        <v>45582</v>
      </c>
      <c r="H14" s="43">
        <v>800</v>
      </c>
      <c r="I14" s="43">
        <v>3</v>
      </c>
      <c r="J14" s="41" t="s">
        <v>42</v>
      </c>
      <c r="K14" s="41" t="s">
        <v>45</v>
      </c>
      <c r="L14" s="43">
        <v>0</v>
      </c>
    </row>
    <row r="15" spans="1:12" x14ac:dyDescent="0.3">
      <c r="A15" s="41" t="s">
        <v>46</v>
      </c>
      <c r="B15" s="41" t="s">
        <v>47</v>
      </c>
      <c r="C15" s="43">
        <v>37</v>
      </c>
      <c r="D15" s="41" t="s">
        <v>12</v>
      </c>
      <c r="E15" s="41" t="s">
        <v>22</v>
      </c>
      <c r="F15" s="35">
        <v>45202</v>
      </c>
      <c r="G15" s="35">
        <v>45280</v>
      </c>
      <c r="H15" s="43">
        <v>1200</v>
      </c>
      <c r="I15" s="43">
        <v>29</v>
      </c>
      <c r="J15" s="41" t="s">
        <v>35</v>
      </c>
      <c r="K15" s="41" t="s">
        <v>48</v>
      </c>
      <c r="L15" s="43">
        <v>2</v>
      </c>
    </row>
    <row r="16" spans="1:12" x14ac:dyDescent="0.3">
      <c r="A16" s="41" t="s">
        <v>49</v>
      </c>
      <c r="B16" s="41" t="s">
        <v>50</v>
      </c>
      <c r="C16" s="43">
        <v>48</v>
      </c>
      <c r="D16" s="41" t="s">
        <v>27</v>
      </c>
      <c r="E16" s="41" t="s">
        <v>22</v>
      </c>
      <c r="F16" s="35">
        <v>45297</v>
      </c>
      <c r="G16" s="35">
        <v>45459</v>
      </c>
      <c r="H16" s="43">
        <v>1200</v>
      </c>
      <c r="I16" s="43">
        <v>13</v>
      </c>
      <c r="J16" s="41" t="s">
        <v>14</v>
      </c>
      <c r="K16" s="41" t="s">
        <v>51</v>
      </c>
      <c r="L16" s="43">
        <v>5</v>
      </c>
    </row>
    <row r="17" spans="1:12" x14ac:dyDescent="0.3">
      <c r="A17" s="41" t="s">
        <v>52</v>
      </c>
      <c r="B17" s="41" t="s">
        <v>53</v>
      </c>
      <c r="C17" s="43">
        <v>36</v>
      </c>
      <c r="D17" s="41" t="s">
        <v>12</v>
      </c>
      <c r="E17" s="41" t="s">
        <v>22</v>
      </c>
      <c r="F17" s="35">
        <v>45154</v>
      </c>
      <c r="G17" s="35">
        <v>45568</v>
      </c>
      <c r="H17" s="43">
        <v>1200</v>
      </c>
      <c r="I17" s="43">
        <v>19</v>
      </c>
      <c r="J17" s="41" t="s">
        <v>42</v>
      </c>
      <c r="K17" s="41" t="s">
        <v>54</v>
      </c>
      <c r="L17" s="43">
        <v>13</v>
      </c>
    </row>
    <row r="18" spans="1:12" x14ac:dyDescent="0.3">
      <c r="A18" s="41" t="s">
        <v>55</v>
      </c>
      <c r="B18" s="41" t="s">
        <v>56</v>
      </c>
      <c r="C18" s="43">
        <v>48</v>
      </c>
      <c r="D18" s="41" t="s">
        <v>27</v>
      </c>
      <c r="E18" s="41" t="s">
        <v>41</v>
      </c>
      <c r="F18" s="35">
        <v>45556</v>
      </c>
      <c r="G18" s="35">
        <v>45641</v>
      </c>
      <c r="H18" s="43">
        <v>1800</v>
      </c>
      <c r="I18" s="43">
        <v>22</v>
      </c>
      <c r="J18" s="41" t="s">
        <v>42</v>
      </c>
      <c r="K18" s="41"/>
      <c r="L18" s="43">
        <v>2</v>
      </c>
    </row>
    <row r="19" spans="1:12" x14ac:dyDescent="0.3">
      <c r="A19" s="41" t="s">
        <v>57</v>
      </c>
      <c r="B19" s="41" t="s">
        <v>58</v>
      </c>
      <c r="C19" s="43">
        <v>39</v>
      </c>
      <c r="D19" s="41" t="s">
        <v>12</v>
      </c>
      <c r="E19" s="41" t="s">
        <v>22</v>
      </c>
      <c r="F19" s="35">
        <v>45065</v>
      </c>
      <c r="G19" s="35">
        <v>45242</v>
      </c>
      <c r="H19" s="43">
        <v>1200</v>
      </c>
      <c r="I19" s="43">
        <v>28</v>
      </c>
      <c r="J19" s="41" t="s">
        <v>35</v>
      </c>
      <c r="K19" s="41"/>
      <c r="L19" s="43">
        <v>5</v>
      </c>
    </row>
    <row r="20" spans="1:12" x14ac:dyDescent="0.3">
      <c r="A20" s="41" t="s">
        <v>59</v>
      </c>
      <c r="B20" s="41" t="s">
        <v>60</v>
      </c>
      <c r="C20" s="43">
        <v>44</v>
      </c>
      <c r="D20" s="41" t="s">
        <v>27</v>
      </c>
      <c r="E20" s="41" t="s">
        <v>13</v>
      </c>
      <c r="F20" s="35">
        <v>45333</v>
      </c>
      <c r="G20" s="35">
        <v>45540</v>
      </c>
      <c r="H20" s="43">
        <v>800</v>
      </c>
      <c r="I20" s="43">
        <v>8</v>
      </c>
      <c r="J20" s="41" t="s">
        <v>23</v>
      </c>
      <c r="K20" s="41"/>
      <c r="L20" s="43">
        <v>6</v>
      </c>
    </row>
    <row r="21" spans="1:12" x14ac:dyDescent="0.3">
      <c r="A21" s="41" t="s">
        <v>61</v>
      </c>
      <c r="B21" s="41" t="s">
        <v>62</v>
      </c>
      <c r="C21" s="43">
        <v>39</v>
      </c>
      <c r="D21" s="41" t="s">
        <v>12</v>
      </c>
      <c r="E21" s="41" t="s">
        <v>31</v>
      </c>
      <c r="F21" s="35">
        <v>45702</v>
      </c>
      <c r="G21" s="35">
        <v>45732</v>
      </c>
      <c r="H21" s="43">
        <v>2500</v>
      </c>
      <c r="I21" s="43">
        <v>14</v>
      </c>
      <c r="J21" s="41" t="s">
        <v>42</v>
      </c>
      <c r="K21" s="41"/>
      <c r="L21" s="43">
        <v>1</v>
      </c>
    </row>
    <row r="22" spans="1:12" x14ac:dyDescent="0.3">
      <c r="A22" s="41" t="s">
        <v>63</v>
      </c>
      <c r="B22" s="41" t="s">
        <v>64</v>
      </c>
      <c r="C22" s="43">
        <v>35</v>
      </c>
      <c r="D22" s="41" t="s">
        <v>12</v>
      </c>
      <c r="E22" s="41" t="s">
        <v>22</v>
      </c>
      <c r="F22" s="35">
        <v>45329</v>
      </c>
      <c r="G22" s="35">
        <v>45685</v>
      </c>
      <c r="H22" s="43">
        <v>1200</v>
      </c>
      <c r="I22" s="43">
        <v>25</v>
      </c>
      <c r="J22" s="41" t="s">
        <v>23</v>
      </c>
      <c r="K22" s="41"/>
      <c r="L22" s="43">
        <v>11</v>
      </c>
    </row>
    <row r="23" spans="1:12" x14ac:dyDescent="0.3">
      <c r="A23" s="41" t="s">
        <v>65</v>
      </c>
      <c r="B23" s="41" t="s">
        <v>66</v>
      </c>
      <c r="C23" s="43">
        <v>56</v>
      </c>
      <c r="D23" s="41" t="s">
        <v>27</v>
      </c>
      <c r="E23" s="41" t="s">
        <v>31</v>
      </c>
      <c r="F23" s="35">
        <v>45213</v>
      </c>
      <c r="G23" s="35">
        <v>45649</v>
      </c>
      <c r="H23" s="43">
        <v>2500</v>
      </c>
      <c r="I23" s="43">
        <v>13</v>
      </c>
      <c r="J23" s="41" t="s">
        <v>67</v>
      </c>
      <c r="K23" s="41"/>
      <c r="L23" s="43">
        <v>14</v>
      </c>
    </row>
    <row r="24" spans="1:12" x14ac:dyDescent="0.3">
      <c r="A24" s="41" t="s">
        <v>68</v>
      </c>
      <c r="B24" s="41" t="s">
        <v>69</v>
      </c>
      <c r="C24" s="43">
        <v>27</v>
      </c>
      <c r="D24" s="41" t="s">
        <v>27</v>
      </c>
      <c r="E24" s="41" t="s">
        <v>13</v>
      </c>
      <c r="F24" s="35">
        <v>45354</v>
      </c>
      <c r="G24" s="35">
        <v>45664</v>
      </c>
      <c r="H24" s="43">
        <v>800</v>
      </c>
      <c r="I24" s="43">
        <v>26</v>
      </c>
      <c r="J24" s="41" t="s">
        <v>35</v>
      </c>
      <c r="K24" s="41"/>
      <c r="L24" s="43">
        <v>10</v>
      </c>
    </row>
    <row r="25" spans="1:12" x14ac:dyDescent="0.3">
      <c r="A25" s="41" t="s">
        <v>70</v>
      </c>
      <c r="B25" s="41" t="s">
        <v>71</v>
      </c>
      <c r="C25" s="43">
        <v>28</v>
      </c>
      <c r="D25" s="41" t="s">
        <v>12</v>
      </c>
      <c r="E25" s="41" t="s">
        <v>31</v>
      </c>
      <c r="F25" s="35">
        <v>45417</v>
      </c>
      <c r="G25" s="35">
        <v>45608</v>
      </c>
      <c r="H25" s="43">
        <v>2500</v>
      </c>
      <c r="I25" s="43">
        <v>21</v>
      </c>
      <c r="J25" s="41" t="s">
        <v>35</v>
      </c>
      <c r="K25" s="41" t="s">
        <v>72</v>
      </c>
      <c r="L25" s="43">
        <v>6</v>
      </c>
    </row>
    <row r="26" spans="1:12" x14ac:dyDescent="0.3">
      <c r="A26" s="41" t="s">
        <v>73</v>
      </c>
      <c r="B26" s="41" t="s">
        <v>74</v>
      </c>
      <c r="C26" s="43">
        <v>57</v>
      </c>
      <c r="D26" s="41" t="s">
        <v>27</v>
      </c>
      <c r="E26" s="41" t="s">
        <v>41</v>
      </c>
      <c r="F26" s="35">
        <v>45146</v>
      </c>
      <c r="G26" s="35">
        <v>45674</v>
      </c>
      <c r="H26" s="43">
        <v>1800</v>
      </c>
      <c r="I26" s="43">
        <v>19</v>
      </c>
      <c r="J26" s="41" t="s">
        <v>35</v>
      </c>
      <c r="K26" s="41"/>
      <c r="L26" s="43">
        <v>17</v>
      </c>
    </row>
    <row r="27" spans="1:12" x14ac:dyDescent="0.3">
      <c r="A27" s="41" t="s">
        <v>75</v>
      </c>
      <c r="B27" s="41" t="s">
        <v>76</v>
      </c>
      <c r="C27" s="43">
        <v>26</v>
      </c>
      <c r="D27" s="41" t="s">
        <v>27</v>
      </c>
      <c r="E27" s="41" t="s">
        <v>41</v>
      </c>
      <c r="F27" s="35">
        <v>45320</v>
      </c>
      <c r="G27" s="35">
        <v>45616</v>
      </c>
      <c r="H27" s="43">
        <v>1800</v>
      </c>
      <c r="I27" s="43">
        <v>5</v>
      </c>
      <c r="J27" s="41" t="s">
        <v>14</v>
      </c>
      <c r="K27" s="41"/>
      <c r="L27" s="43">
        <v>9</v>
      </c>
    </row>
    <row r="28" spans="1:12" x14ac:dyDescent="0.3">
      <c r="A28" s="41" t="s">
        <v>77</v>
      </c>
      <c r="B28" s="41" t="s">
        <v>78</v>
      </c>
      <c r="C28" s="43">
        <v>48</v>
      </c>
      <c r="D28" s="41" t="s">
        <v>12</v>
      </c>
      <c r="E28" s="41" t="s">
        <v>41</v>
      </c>
      <c r="F28" s="35">
        <v>45451</v>
      </c>
      <c r="G28" s="35">
        <v>45455</v>
      </c>
      <c r="H28" s="43">
        <v>1800</v>
      </c>
      <c r="I28" s="43">
        <v>18</v>
      </c>
      <c r="J28" s="41" t="s">
        <v>67</v>
      </c>
      <c r="K28" s="41"/>
      <c r="L28" s="43">
        <v>0</v>
      </c>
    </row>
    <row r="29" spans="1:12" x14ac:dyDescent="0.3">
      <c r="A29" s="41" t="s">
        <v>79</v>
      </c>
      <c r="B29" s="41" t="s">
        <v>80</v>
      </c>
      <c r="C29" s="43">
        <v>25</v>
      </c>
      <c r="D29" s="41" t="s">
        <v>27</v>
      </c>
      <c r="E29" s="41" t="s">
        <v>22</v>
      </c>
      <c r="F29" s="35">
        <v>45439</v>
      </c>
      <c r="G29" s="35">
        <v>45730</v>
      </c>
      <c r="H29" s="43">
        <v>1200</v>
      </c>
      <c r="I29" s="43">
        <v>6</v>
      </c>
      <c r="J29" s="41" t="s">
        <v>14</v>
      </c>
      <c r="K29" s="41"/>
      <c r="L29" s="43">
        <v>9</v>
      </c>
    </row>
    <row r="30" spans="1:12" x14ac:dyDescent="0.3">
      <c r="A30" s="41" t="s">
        <v>81</v>
      </c>
      <c r="B30" s="41" t="s">
        <v>82</v>
      </c>
      <c r="C30" s="43">
        <v>53</v>
      </c>
      <c r="D30" s="41" t="s">
        <v>12</v>
      </c>
      <c r="E30" s="41" t="s">
        <v>41</v>
      </c>
      <c r="F30" s="35">
        <v>45286</v>
      </c>
      <c r="G30" s="35">
        <v>45372</v>
      </c>
      <c r="H30" s="43">
        <v>1800</v>
      </c>
      <c r="I30" s="43">
        <v>17</v>
      </c>
      <c r="J30" s="41" t="s">
        <v>35</v>
      </c>
      <c r="K30" s="41" t="s">
        <v>83</v>
      </c>
      <c r="L30" s="43">
        <v>2</v>
      </c>
    </row>
    <row r="31" spans="1:12" x14ac:dyDescent="0.3">
      <c r="A31" s="41" t="s">
        <v>84</v>
      </c>
      <c r="B31" s="41" t="s">
        <v>85</v>
      </c>
      <c r="C31" s="43">
        <v>42</v>
      </c>
      <c r="D31" s="41" t="s">
        <v>27</v>
      </c>
      <c r="E31" s="41" t="s">
        <v>22</v>
      </c>
      <c r="F31" s="35">
        <v>45702</v>
      </c>
      <c r="G31" s="35">
        <v>45727</v>
      </c>
      <c r="H31" s="43">
        <v>1200</v>
      </c>
      <c r="I31" s="43">
        <v>3</v>
      </c>
      <c r="J31" s="41" t="s">
        <v>67</v>
      </c>
      <c r="K31" s="41"/>
      <c r="L31" s="43">
        <v>0</v>
      </c>
    </row>
    <row r="32" spans="1:12" x14ac:dyDescent="0.3">
      <c r="A32" s="41" t="s">
        <v>86</v>
      </c>
      <c r="B32" s="41" t="s">
        <v>87</v>
      </c>
      <c r="C32" s="43">
        <v>24</v>
      </c>
      <c r="D32" s="41" t="s">
        <v>12</v>
      </c>
      <c r="E32" s="41" t="s">
        <v>31</v>
      </c>
      <c r="F32" s="35">
        <v>45698</v>
      </c>
      <c r="G32" s="35">
        <v>45726</v>
      </c>
      <c r="H32" s="43">
        <v>2500</v>
      </c>
      <c r="I32" s="43">
        <v>28</v>
      </c>
      <c r="J32" s="41" t="s">
        <v>35</v>
      </c>
      <c r="K32" s="41"/>
      <c r="L32" s="43">
        <v>0</v>
      </c>
    </row>
    <row r="33" spans="1:12" x14ac:dyDescent="0.3">
      <c r="A33" s="41" t="s">
        <v>88</v>
      </c>
      <c r="B33" s="41" t="s">
        <v>89</v>
      </c>
      <c r="C33" s="43">
        <v>53</v>
      </c>
      <c r="D33" s="41" t="s">
        <v>12</v>
      </c>
      <c r="E33" s="41" t="s">
        <v>22</v>
      </c>
      <c r="F33" s="35">
        <v>45614</v>
      </c>
      <c r="G33" s="35">
        <v>45645</v>
      </c>
      <c r="H33" s="43">
        <v>1200</v>
      </c>
      <c r="I33" s="43">
        <v>23</v>
      </c>
      <c r="J33" s="41" t="s">
        <v>18</v>
      </c>
      <c r="K33" s="41"/>
      <c r="L33" s="43">
        <v>1</v>
      </c>
    </row>
    <row r="34" spans="1:12" x14ac:dyDescent="0.3">
      <c r="A34" s="41" t="s">
        <v>90</v>
      </c>
      <c r="B34" s="41" t="s">
        <v>91</v>
      </c>
      <c r="C34" s="43">
        <v>29</v>
      </c>
      <c r="D34" s="41" t="s">
        <v>27</v>
      </c>
      <c r="E34" s="41" t="s">
        <v>31</v>
      </c>
      <c r="F34" s="35">
        <v>45401</v>
      </c>
      <c r="G34" s="35">
        <v>45408</v>
      </c>
      <c r="H34" s="43">
        <v>2500</v>
      </c>
      <c r="I34" s="43">
        <v>8</v>
      </c>
      <c r="J34" s="41" t="s">
        <v>23</v>
      </c>
      <c r="K34" s="41"/>
      <c r="L34" s="43">
        <v>0</v>
      </c>
    </row>
    <row r="35" spans="1:12" x14ac:dyDescent="0.3">
      <c r="A35" s="41" t="s">
        <v>92</v>
      </c>
      <c r="B35" s="41" t="s">
        <v>93</v>
      </c>
      <c r="C35" s="43">
        <v>31</v>
      </c>
      <c r="D35" s="41" t="s">
        <v>27</v>
      </c>
      <c r="E35" s="41" t="s">
        <v>31</v>
      </c>
      <c r="F35" s="35">
        <v>45667</v>
      </c>
      <c r="G35" s="35">
        <v>45745</v>
      </c>
      <c r="H35" s="43">
        <v>2500</v>
      </c>
      <c r="I35" s="43">
        <v>23</v>
      </c>
      <c r="J35" s="41" t="s">
        <v>42</v>
      </c>
      <c r="K35" s="41" t="s">
        <v>94</v>
      </c>
      <c r="L35" s="43">
        <v>2</v>
      </c>
    </row>
    <row r="36" spans="1:12" x14ac:dyDescent="0.3">
      <c r="A36" s="41" t="s">
        <v>95</v>
      </c>
      <c r="B36" s="41" t="s">
        <v>96</v>
      </c>
      <c r="C36" s="43">
        <v>52</v>
      </c>
      <c r="D36" s="41" t="s">
        <v>27</v>
      </c>
      <c r="E36" s="41" t="s">
        <v>13</v>
      </c>
      <c r="F36" s="35">
        <v>45088</v>
      </c>
      <c r="G36" s="35">
        <v>45656</v>
      </c>
      <c r="H36" s="43">
        <v>800</v>
      </c>
      <c r="I36" s="43">
        <v>9</v>
      </c>
      <c r="J36" s="41" t="s">
        <v>67</v>
      </c>
      <c r="K36" s="41" t="s">
        <v>97</v>
      </c>
      <c r="L36" s="43">
        <v>18</v>
      </c>
    </row>
    <row r="37" spans="1:12" x14ac:dyDescent="0.3">
      <c r="A37" s="41" t="s">
        <v>98</v>
      </c>
      <c r="B37" s="41" t="s">
        <v>99</v>
      </c>
      <c r="C37" s="43">
        <v>20</v>
      </c>
      <c r="D37" s="41" t="s">
        <v>12</v>
      </c>
      <c r="E37" s="41" t="s">
        <v>22</v>
      </c>
      <c r="F37" s="35">
        <v>45391</v>
      </c>
      <c r="G37" s="35">
        <v>45604</v>
      </c>
      <c r="H37" s="43">
        <v>1200</v>
      </c>
      <c r="I37" s="43">
        <v>2</v>
      </c>
      <c r="J37" s="41" t="s">
        <v>35</v>
      </c>
      <c r="K37" s="41"/>
      <c r="L37" s="43">
        <v>7</v>
      </c>
    </row>
    <row r="38" spans="1:12" x14ac:dyDescent="0.3">
      <c r="A38" s="41" t="s">
        <v>100</v>
      </c>
      <c r="B38" s="41" t="s">
        <v>101</v>
      </c>
      <c r="C38" s="43">
        <v>22</v>
      </c>
      <c r="D38" s="41" t="s">
        <v>12</v>
      </c>
      <c r="E38" s="41" t="s">
        <v>13</v>
      </c>
      <c r="F38" s="35">
        <v>45699</v>
      </c>
      <c r="G38" s="35">
        <v>45740</v>
      </c>
      <c r="H38" s="43">
        <v>800</v>
      </c>
      <c r="I38" s="43">
        <v>30</v>
      </c>
      <c r="J38" s="41" t="s">
        <v>35</v>
      </c>
      <c r="K38" s="41"/>
      <c r="L38" s="43">
        <v>1</v>
      </c>
    </row>
    <row r="39" spans="1:12" x14ac:dyDescent="0.3">
      <c r="A39" s="41" t="s">
        <v>102</v>
      </c>
      <c r="B39" s="41" t="s">
        <v>103</v>
      </c>
      <c r="C39" s="43">
        <v>23</v>
      </c>
      <c r="D39" s="41" t="s">
        <v>12</v>
      </c>
      <c r="E39" s="41" t="s">
        <v>41</v>
      </c>
      <c r="F39" s="35">
        <v>45588</v>
      </c>
      <c r="G39" s="35">
        <v>45721</v>
      </c>
      <c r="H39" s="43">
        <v>1800</v>
      </c>
      <c r="I39" s="43">
        <v>23</v>
      </c>
      <c r="J39" s="41" t="s">
        <v>18</v>
      </c>
      <c r="K39" s="41" t="s">
        <v>104</v>
      </c>
      <c r="L39" s="43">
        <v>4</v>
      </c>
    </row>
    <row r="40" spans="1:12" x14ac:dyDescent="0.3">
      <c r="A40" s="41" t="s">
        <v>105</v>
      </c>
      <c r="B40" s="41" t="s">
        <v>106</v>
      </c>
      <c r="C40" s="43">
        <v>27</v>
      </c>
      <c r="D40" s="41" t="s">
        <v>27</v>
      </c>
      <c r="E40" s="41" t="s">
        <v>22</v>
      </c>
      <c r="F40" s="35">
        <v>45312</v>
      </c>
      <c r="G40" s="35">
        <v>45652</v>
      </c>
      <c r="H40" s="43">
        <v>1200</v>
      </c>
      <c r="I40" s="43">
        <v>27</v>
      </c>
      <c r="J40" s="41" t="s">
        <v>18</v>
      </c>
      <c r="K40" s="41"/>
      <c r="L40" s="43">
        <v>11</v>
      </c>
    </row>
    <row r="46" spans="1:12" x14ac:dyDescent="0.3">
      <c r="A46" s="4" t="s">
        <v>109</v>
      </c>
      <c r="B46" t="s">
        <v>113</v>
      </c>
    </row>
    <row r="47" spans="1:12" x14ac:dyDescent="0.3">
      <c r="A47" s="5" t="s">
        <v>110</v>
      </c>
      <c r="B47">
        <v>1530</v>
      </c>
    </row>
    <row r="48" spans="1:12" x14ac:dyDescent="0.3">
      <c r="A48" s="5" t="s">
        <v>111</v>
      </c>
      <c r="B48" s="7">
        <v>1406.6666666666667</v>
      </c>
    </row>
    <row r="49" spans="1:7" x14ac:dyDescent="0.3">
      <c r="A49" s="5" t="s">
        <v>112</v>
      </c>
      <c r="B49" s="6">
        <v>1477.1428571428571</v>
      </c>
    </row>
    <row r="53" spans="1:7" x14ac:dyDescent="0.3">
      <c r="B53" s="45" t="s">
        <v>129</v>
      </c>
      <c r="C53" s="46"/>
      <c r="D53" s="46"/>
      <c r="E53" s="46"/>
      <c r="F53" s="46"/>
      <c r="G53" s="46"/>
    </row>
    <row r="54" spans="1:7" x14ac:dyDescent="0.3">
      <c r="B54" s="46"/>
      <c r="C54" s="46"/>
      <c r="D54" s="46"/>
      <c r="E54" s="46"/>
      <c r="F54" s="46"/>
      <c r="G54" s="46"/>
    </row>
  </sheetData>
  <mergeCells count="1">
    <mergeCell ref="B53:G54"/>
  </mergeCells>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8059F-2E4D-4A1C-B3F9-AC21AAAA3BA9}">
  <dimension ref="A2:M56"/>
  <sheetViews>
    <sheetView zoomScale="70" zoomScaleNormal="70" workbookViewId="0">
      <selection activeCell="F55" sqref="F55:G56"/>
    </sheetView>
  </sheetViews>
  <sheetFormatPr defaultRowHeight="14.4" x14ac:dyDescent="0.3"/>
  <cols>
    <col min="1" max="1" width="15.77734375" customWidth="1"/>
    <col min="2" max="2" width="14.21875" customWidth="1"/>
    <col min="3" max="3" width="26" customWidth="1"/>
    <col min="4" max="4" width="12.5546875" customWidth="1"/>
    <col min="5" max="5" width="13.5546875" customWidth="1"/>
    <col min="6" max="6" width="14.109375" customWidth="1"/>
    <col min="7" max="7" width="22.109375" customWidth="1"/>
    <col min="8" max="8" width="12.88671875" customWidth="1"/>
    <col min="9" max="9" width="15.44140625" customWidth="1"/>
    <col min="10" max="10" width="18.6640625" customWidth="1"/>
    <col min="11" max="11" width="17.77734375" customWidth="1"/>
    <col min="12" max="12" width="11.6640625" customWidth="1"/>
    <col min="13" max="13" width="11.33203125" customWidth="1"/>
  </cols>
  <sheetData>
    <row r="2" spans="1:13" ht="25.8" x14ac:dyDescent="0.5">
      <c r="A2" s="47"/>
      <c r="B2" s="47"/>
      <c r="C2" s="48" t="s">
        <v>130</v>
      </c>
      <c r="D2" s="48"/>
      <c r="E2" s="48"/>
      <c r="F2" s="48"/>
      <c r="G2" s="48"/>
      <c r="H2" s="48"/>
      <c r="I2" s="48"/>
      <c r="J2" s="48"/>
      <c r="K2" s="48"/>
      <c r="L2" s="48"/>
    </row>
    <row r="7" spans="1:13" x14ac:dyDescent="0.3">
      <c r="A7" s="49" t="s">
        <v>0</v>
      </c>
      <c r="B7" s="55" t="s">
        <v>1</v>
      </c>
      <c r="C7" s="49" t="s">
        <v>2</v>
      </c>
      <c r="D7" s="49" t="s">
        <v>3</v>
      </c>
      <c r="E7" s="58" t="s">
        <v>4</v>
      </c>
      <c r="F7" s="58" t="s">
        <v>5</v>
      </c>
      <c r="G7" s="55" t="s">
        <v>6</v>
      </c>
      <c r="H7" s="55" t="s">
        <v>7</v>
      </c>
      <c r="I7" s="49" t="s">
        <v>8</v>
      </c>
      <c r="J7" s="49" t="s">
        <v>9</v>
      </c>
      <c r="K7" s="49" t="s">
        <v>108</v>
      </c>
      <c r="L7" s="55" t="s">
        <v>125</v>
      </c>
      <c r="M7" s="50" t="s">
        <v>114</v>
      </c>
    </row>
    <row r="8" spans="1:13" x14ac:dyDescent="0.3">
      <c r="A8" s="51" t="s">
        <v>11</v>
      </c>
      <c r="B8" s="56">
        <v>59</v>
      </c>
      <c r="C8" s="51" t="s">
        <v>12</v>
      </c>
      <c r="D8" s="51" t="s">
        <v>13</v>
      </c>
      <c r="E8" s="59">
        <v>45235</v>
      </c>
      <c r="F8" s="59">
        <v>45425</v>
      </c>
      <c r="G8" s="56">
        <v>800</v>
      </c>
      <c r="H8" s="56">
        <v>25</v>
      </c>
      <c r="I8" s="51" t="s">
        <v>14</v>
      </c>
      <c r="J8" s="51" t="s">
        <v>15</v>
      </c>
      <c r="K8" s="51" t="s">
        <v>111</v>
      </c>
      <c r="L8" s="56">
        <v>6</v>
      </c>
      <c r="M8" s="53">
        <v>4800</v>
      </c>
    </row>
    <row r="9" spans="1:13" x14ac:dyDescent="0.3">
      <c r="A9" s="52" t="s">
        <v>17</v>
      </c>
      <c r="B9" s="57">
        <v>27</v>
      </c>
      <c r="C9" s="52" t="s">
        <v>12</v>
      </c>
      <c r="D9" s="52" t="s">
        <v>13</v>
      </c>
      <c r="E9" s="60">
        <v>45714</v>
      </c>
      <c r="F9" s="60">
        <v>45740</v>
      </c>
      <c r="G9" s="57">
        <v>800</v>
      </c>
      <c r="H9" s="57">
        <v>20</v>
      </c>
      <c r="I9" s="52" t="s">
        <v>18</v>
      </c>
      <c r="J9" s="52" t="s">
        <v>19</v>
      </c>
      <c r="K9" s="52" t="s">
        <v>111</v>
      </c>
      <c r="L9" s="57">
        <v>0</v>
      </c>
      <c r="M9" s="54">
        <v>0</v>
      </c>
    </row>
    <row r="10" spans="1:13" x14ac:dyDescent="0.3">
      <c r="A10" s="51" t="s">
        <v>21</v>
      </c>
      <c r="B10" s="56">
        <v>24</v>
      </c>
      <c r="C10" s="51" t="s">
        <v>12</v>
      </c>
      <c r="D10" s="51" t="s">
        <v>22</v>
      </c>
      <c r="E10" s="59">
        <v>45191</v>
      </c>
      <c r="F10" s="59">
        <v>45371</v>
      </c>
      <c r="G10" s="56">
        <v>1200</v>
      </c>
      <c r="H10" s="56">
        <v>18</v>
      </c>
      <c r="I10" s="51" t="s">
        <v>23</v>
      </c>
      <c r="J10" s="51" t="s">
        <v>24</v>
      </c>
      <c r="K10" s="51" t="s">
        <v>111</v>
      </c>
      <c r="L10" s="56">
        <v>6</v>
      </c>
      <c r="M10" s="53">
        <v>7200</v>
      </c>
    </row>
    <row r="11" spans="1:13" x14ac:dyDescent="0.3">
      <c r="A11" s="52" t="s">
        <v>26</v>
      </c>
      <c r="B11" s="57">
        <v>31</v>
      </c>
      <c r="C11" s="52" t="s">
        <v>27</v>
      </c>
      <c r="D11" s="52" t="s">
        <v>22</v>
      </c>
      <c r="E11" s="60">
        <v>45479</v>
      </c>
      <c r="F11" s="60">
        <v>45587</v>
      </c>
      <c r="G11" s="57">
        <v>1200</v>
      </c>
      <c r="H11" s="57">
        <v>16</v>
      </c>
      <c r="I11" s="52" t="s">
        <v>23</v>
      </c>
      <c r="J11" s="52" t="s">
        <v>28</v>
      </c>
      <c r="K11" s="52" t="s">
        <v>111</v>
      </c>
      <c r="L11" s="57">
        <v>3</v>
      </c>
      <c r="M11" s="54">
        <v>3600</v>
      </c>
    </row>
    <row r="12" spans="1:13" x14ac:dyDescent="0.3">
      <c r="A12" s="51" t="s">
        <v>30</v>
      </c>
      <c r="B12" s="56">
        <v>19</v>
      </c>
      <c r="C12" s="51" t="s">
        <v>12</v>
      </c>
      <c r="D12" s="51" t="s">
        <v>31</v>
      </c>
      <c r="E12" s="59">
        <v>45286</v>
      </c>
      <c r="F12" s="59">
        <v>45501</v>
      </c>
      <c r="G12" s="56">
        <v>2500</v>
      </c>
      <c r="H12" s="56">
        <v>12</v>
      </c>
      <c r="I12" s="51" t="s">
        <v>14</v>
      </c>
      <c r="J12" s="51" t="s">
        <v>32</v>
      </c>
      <c r="K12" s="51" t="s">
        <v>111</v>
      </c>
      <c r="L12" s="56">
        <v>7</v>
      </c>
      <c r="M12" s="53">
        <v>17500</v>
      </c>
    </row>
    <row r="13" spans="1:13" x14ac:dyDescent="0.3">
      <c r="A13" s="52" t="s">
        <v>34</v>
      </c>
      <c r="B13" s="57">
        <v>40</v>
      </c>
      <c r="C13" s="52" t="s">
        <v>12</v>
      </c>
      <c r="D13" s="52" t="s">
        <v>13</v>
      </c>
      <c r="E13" s="60">
        <v>45317</v>
      </c>
      <c r="F13" s="60">
        <v>45392</v>
      </c>
      <c r="G13" s="57">
        <v>800</v>
      </c>
      <c r="H13" s="57">
        <v>14</v>
      </c>
      <c r="I13" s="52" t="s">
        <v>35</v>
      </c>
      <c r="J13" s="52" t="s">
        <v>36</v>
      </c>
      <c r="K13" s="52" t="s">
        <v>111</v>
      </c>
      <c r="L13" s="57">
        <v>2</v>
      </c>
      <c r="M13" s="54">
        <v>1600</v>
      </c>
    </row>
    <row r="14" spans="1:13" x14ac:dyDescent="0.3">
      <c r="A14" s="51" t="s">
        <v>38</v>
      </c>
      <c r="B14" s="56">
        <v>41</v>
      </c>
      <c r="C14" s="51" t="s">
        <v>27</v>
      </c>
      <c r="D14" s="51" t="s">
        <v>13</v>
      </c>
      <c r="E14" s="59">
        <v>45588</v>
      </c>
      <c r="F14" s="59">
        <v>45677</v>
      </c>
      <c r="G14" s="56">
        <v>800</v>
      </c>
      <c r="H14" s="56">
        <v>25</v>
      </c>
      <c r="I14" s="51" t="s">
        <v>18</v>
      </c>
      <c r="J14" s="51"/>
      <c r="K14" s="51" t="s">
        <v>110</v>
      </c>
      <c r="L14" s="56">
        <v>2</v>
      </c>
      <c r="M14" s="53">
        <v>1600</v>
      </c>
    </row>
    <row r="15" spans="1:13" x14ac:dyDescent="0.3">
      <c r="A15" s="52" t="s">
        <v>40</v>
      </c>
      <c r="B15" s="57">
        <v>43</v>
      </c>
      <c r="C15" s="52" t="s">
        <v>12</v>
      </c>
      <c r="D15" s="52" t="s">
        <v>41</v>
      </c>
      <c r="E15" s="60">
        <v>45450</v>
      </c>
      <c r="F15" s="60">
        <v>45563</v>
      </c>
      <c r="G15" s="57">
        <v>1800</v>
      </c>
      <c r="H15" s="57">
        <v>28</v>
      </c>
      <c r="I15" s="52" t="s">
        <v>42</v>
      </c>
      <c r="J15" s="52"/>
      <c r="K15" s="52" t="s">
        <v>110</v>
      </c>
      <c r="L15" s="57">
        <v>3</v>
      </c>
      <c r="M15" s="54">
        <v>5400</v>
      </c>
    </row>
    <row r="16" spans="1:13" x14ac:dyDescent="0.3">
      <c r="A16" s="51" t="s">
        <v>44</v>
      </c>
      <c r="B16" s="56">
        <v>42</v>
      </c>
      <c r="C16" s="51" t="s">
        <v>12</v>
      </c>
      <c r="D16" s="51" t="s">
        <v>13</v>
      </c>
      <c r="E16" s="59">
        <v>45569</v>
      </c>
      <c r="F16" s="59">
        <v>45582</v>
      </c>
      <c r="G16" s="56">
        <v>800</v>
      </c>
      <c r="H16" s="56">
        <v>3</v>
      </c>
      <c r="I16" s="51" t="s">
        <v>42</v>
      </c>
      <c r="J16" s="51" t="s">
        <v>45</v>
      </c>
      <c r="K16" s="51" t="s">
        <v>111</v>
      </c>
      <c r="L16" s="56">
        <v>0</v>
      </c>
      <c r="M16" s="53">
        <v>0</v>
      </c>
    </row>
    <row r="17" spans="1:13" x14ac:dyDescent="0.3">
      <c r="A17" s="52" t="s">
        <v>47</v>
      </c>
      <c r="B17" s="57">
        <v>37</v>
      </c>
      <c r="C17" s="52" t="s">
        <v>12</v>
      </c>
      <c r="D17" s="52" t="s">
        <v>22</v>
      </c>
      <c r="E17" s="60">
        <v>45202</v>
      </c>
      <c r="F17" s="60">
        <v>45280</v>
      </c>
      <c r="G17" s="57">
        <v>1200</v>
      </c>
      <c r="H17" s="57">
        <v>29</v>
      </c>
      <c r="I17" s="52" t="s">
        <v>35</v>
      </c>
      <c r="J17" s="52" t="s">
        <v>48</v>
      </c>
      <c r="K17" s="52" t="s">
        <v>111</v>
      </c>
      <c r="L17" s="57">
        <v>2</v>
      </c>
      <c r="M17" s="54">
        <v>2400</v>
      </c>
    </row>
    <row r="18" spans="1:13" x14ac:dyDescent="0.3">
      <c r="A18" s="51" t="s">
        <v>50</v>
      </c>
      <c r="B18" s="56">
        <v>48</v>
      </c>
      <c r="C18" s="51" t="s">
        <v>27</v>
      </c>
      <c r="D18" s="51" t="s">
        <v>22</v>
      </c>
      <c r="E18" s="59">
        <v>45297</v>
      </c>
      <c r="F18" s="59">
        <v>45459</v>
      </c>
      <c r="G18" s="56">
        <v>1200</v>
      </c>
      <c r="H18" s="56">
        <v>13</v>
      </c>
      <c r="I18" s="51" t="s">
        <v>14</v>
      </c>
      <c r="J18" s="51" t="s">
        <v>51</v>
      </c>
      <c r="K18" s="51" t="s">
        <v>111</v>
      </c>
      <c r="L18" s="56">
        <v>5</v>
      </c>
      <c r="M18" s="53">
        <v>6000</v>
      </c>
    </row>
    <row r="19" spans="1:13" x14ac:dyDescent="0.3">
      <c r="A19" s="52" t="s">
        <v>53</v>
      </c>
      <c r="B19" s="57">
        <v>36</v>
      </c>
      <c r="C19" s="52" t="s">
        <v>12</v>
      </c>
      <c r="D19" s="52" t="s">
        <v>22</v>
      </c>
      <c r="E19" s="60">
        <v>45154</v>
      </c>
      <c r="F19" s="60">
        <v>45568</v>
      </c>
      <c r="G19" s="57">
        <v>1200</v>
      </c>
      <c r="H19" s="57">
        <v>19</v>
      </c>
      <c r="I19" s="52" t="s">
        <v>42</v>
      </c>
      <c r="J19" s="52" t="s">
        <v>54</v>
      </c>
      <c r="K19" s="52" t="s">
        <v>111</v>
      </c>
      <c r="L19" s="57">
        <v>13</v>
      </c>
      <c r="M19" s="54">
        <v>15600</v>
      </c>
    </row>
    <row r="20" spans="1:13" x14ac:dyDescent="0.3">
      <c r="A20" s="51" t="s">
        <v>56</v>
      </c>
      <c r="B20" s="56">
        <v>48</v>
      </c>
      <c r="C20" s="51" t="s">
        <v>27</v>
      </c>
      <c r="D20" s="51" t="s">
        <v>41</v>
      </c>
      <c r="E20" s="59">
        <v>45556</v>
      </c>
      <c r="F20" s="59">
        <v>45641</v>
      </c>
      <c r="G20" s="56">
        <v>1800</v>
      </c>
      <c r="H20" s="56">
        <v>22</v>
      </c>
      <c r="I20" s="51" t="s">
        <v>42</v>
      </c>
      <c r="J20" s="51"/>
      <c r="K20" s="51" t="s">
        <v>110</v>
      </c>
      <c r="L20" s="56">
        <v>2</v>
      </c>
      <c r="M20" s="53">
        <v>3600</v>
      </c>
    </row>
    <row r="21" spans="1:13" x14ac:dyDescent="0.3">
      <c r="A21" s="52" t="s">
        <v>58</v>
      </c>
      <c r="B21" s="57">
        <v>39</v>
      </c>
      <c r="C21" s="52" t="s">
        <v>12</v>
      </c>
      <c r="D21" s="52" t="s">
        <v>22</v>
      </c>
      <c r="E21" s="60">
        <v>45065</v>
      </c>
      <c r="F21" s="60">
        <v>45242</v>
      </c>
      <c r="G21" s="57">
        <v>1200</v>
      </c>
      <c r="H21" s="57">
        <v>28</v>
      </c>
      <c r="I21" s="52" t="s">
        <v>35</v>
      </c>
      <c r="J21" s="52"/>
      <c r="K21" s="52" t="s">
        <v>110</v>
      </c>
      <c r="L21" s="57">
        <v>5</v>
      </c>
      <c r="M21" s="54">
        <v>6000</v>
      </c>
    </row>
    <row r="22" spans="1:13" x14ac:dyDescent="0.3">
      <c r="A22" s="51" t="s">
        <v>60</v>
      </c>
      <c r="B22" s="56">
        <v>44</v>
      </c>
      <c r="C22" s="51" t="s">
        <v>27</v>
      </c>
      <c r="D22" s="51" t="s">
        <v>13</v>
      </c>
      <c r="E22" s="59">
        <v>45333</v>
      </c>
      <c r="F22" s="59">
        <v>45540</v>
      </c>
      <c r="G22" s="56">
        <v>800</v>
      </c>
      <c r="H22" s="56">
        <v>8</v>
      </c>
      <c r="I22" s="51" t="s">
        <v>23</v>
      </c>
      <c r="J22" s="51"/>
      <c r="K22" s="51" t="s">
        <v>110</v>
      </c>
      <c r="L22" s="56">
        <v>6</v>
      </c>
      <c r="M22" s="53">
        <v>4800</v>
      </c>
    </row>
    <row r="23" spans="1:13" x14ac:dyDescent="0.3">
      <c r="A23" s="52" t="s">
        <v>62</v>
      </c>
      <c r="B23" s="57">
        <v>39</v>
      </c>
      <c r="C23" s="52" t="s">
        <v>12</v>
      </c>
      <c r="D23" s="52" t="s">
        <v>31</v>
      </c>
      <c r="E23" s="60">
        <v>45702</v>
      </c>
      <c r="F23" s="60">
        <v>45732</v>
      </c>
      <c r="G23" s="57">
        <v>2500</v>
      </c>
      <c r="H23" s="57">
        <v>14</v>
      </c>
      <c r="I23" s="52" t="s">
        <v>42</v>
      </c>
      <c r="J23" s="52"/>
      <c r="K23" s="52" t="s">
        <v>110</v>
      </c>
      <c r="L23" s="57">
        <v>1</v>
      </c>
      <c r="M23" s="54">
        <v>2500</v>
      </c>
    </row>
    <row r="24" spans="1:13" x14ac:dyDescent="0.3">
      <c r="A24" s="51" t="s">
        <v>64</v>
      </c>
      <c r="B24" s="56">
        <v>35</v>
      </c>
      <c r="C24" s="51" t="s">
        <v>12</v>
      </c>
      <c r="D24" s="51" t="s">
        <v>22</v>
      </c>
      <c r="E24" s="59">
        <v>45329</v>
      </c>
      <c r="F24" s="59">
        <v>45685</v>
      </c>
      <c r="G24" s="56">
        <v>1200</v>
      </c>
      <c r="H24" s="56">
        <v>25</v>
      </c>
      <c r="I24" s="51" t="s">
        <v>23</v>
      </c>
      <c r="J24" s="51"/>
      <c r="K24" s="51" t="s">
        <v>110</v>
      </c>
      <c r="L24" s="56">
        <v>11</v>
      </c>
      <c r="M24" s="53">
        <v>13200</v>
      </c>
    </row>
    <row r="25" spans="1:13" x14ac:dyDescent="0.3">
      <c r="A25" s="52" t="s">
        <v>66</v>
      </c>
      <c r="B25" s="57">
        <v>56</v>
      </c>
      <c r="C25" s="52" t="s">
        <v>27</v>
      </c>
      <c r="D25" s="52" t="s">
        <v>31</v>
      </c>
      <c r="E25" s="60">
        <v>45213</v>
      </c>
      <c r="F25" s="60">
        <v>45649</v>
      </c>
      <c r="G25" s="57">
        <v>2500</v>
      </c>
      <c r="H25" s="57">
        <v>13</v>
      </c>
      <c r="I25" s="52" t="s">
        <v>67</v>
      </c>
      <c r="J25" s="52"/>
      <c r="K25" s="52" t="s">
        <v>110</v>
      </c>
      <c r="L25" s="57">
        <v>14</v>
      </c>
      <c r="M25" s="54">
        <v>35000</v>
      </c>
    </row>
    <row r="26" spans="1:13" x14ac:dyDescent="0.3">
      <c r="A26" s="51" t="s">
        <v>69</v>
      </c>
      <c r="B26" s="56">
        <v>27</v>
      </c>
      <c r="C26" s="51" t="s">
        <v>27</v>
      </c>
      <c r="D26" s="51" t="s">
        <v>13</v>
      </c>
      <c r="E26" s="59">
        <v>45354</v>
      </c>
      <c r="F26" s="59">
        <v>45664</v>
      </c>
      <c r="G26" s="56">
        <v>800</v>
      </c>
      <c r="H26" s="56">
        <v>26</v>
      </c>
      <c r="I26" s="51" t="s">
        <v>35</v>
      </c>
      <c r="J26" s="51"/>
      <c r="K26" s="51" t="s">
        <v>110</v>
      </c>
      <c r="L26" s="56">
        <v>10</v>
      </c>
      <c r="M26" s="53">
        <v>8000</v>
      </c>
    </row>
    <row r="27" spans="1:13" x14ac:dyDescent="0.3">
      <c r="A27" s="52" t="s">
        <v>71</v>
      </c>
      <c r="B27" s="57">
        <v>28</v>
      </c>
      <c r="C27" s="52" t="s">
        <v>12</v>
      </c>
      <c r="D27" s="52" t="s">
        <v>31</v>
      </c>
      <c r="E27" s="60">
        <v>45417</v>
      </c>
      <c r="F27" s="60">
        <v>45608</v>
      </c>
      <c r="G27" s="57">
        <v>2500</v>
      </c>
      <c r="H27" s="57">
        <v>21</v>
      </c>
      <c r="I27" s="52" t="s">
        <v>35</v>
      </c>
      <c r="J27" s="52" t="s">
        <v>72</v>
      </c>
      <c r="K27" s="52" t="s">
        <v>111</v>
      </c>
      <c r="L27" s="57">
        <v>6</v>
      </c>
      <c r="M27" s="54">
        <v>15000</v>
      </c>
    </row>
    <row r="28" spans="1:13" x14ac:dyDescent="0.3">
      <c r="A28" s="51" t="s">
        <v>74</v>
      </c>
      <c r="B28" s="56">
        <v>57</v>
      </c>
      <c r="C28" s="51" t="s">
        <v>27</v>
      </c>
      <c r="D28" s="51" t="s">
        <v>41</v>
      </c>
      <c r="E28" s="59">
        <v>45146</v>
      </c>
      <c r="F28" s="59">
        <v>45674</v>
      </c>
      <c r="G28" s="56">
        <v>1800</v>
      </c>
      <c r="H28" s="56">
        <v>19</v>
      </c>
      <c r="I28" s="51" t="s">
        <v>35</v>
      </c>
      <c r="J28" s="51"/>
      <c r="K28" s="51" t="s">
        <v>110</v>
      </c>
      <c r="L28" s="56">
        <v>17</v>
      </c>
      <c r="M28" s="53">
        <v>30600</v>
      </c>
    </row>
    <row r="29" spans="1:13" x14ac:dyDescent="0.3">
      <c r="A29" s="52" t="s">
        <v>76</v>
      </c>
      <c r="B29" s="57">
        <v>26</v>
      </c>
      <c r="C29" s="52" t="s">
        <v>27</v>
      </c>
      <c r="D29" s="52" t="s">
        <v>41</v>
      </c>
      <c r="E29" s="60">
        <v>45320</v>
      </c>
      <c r="F29" s="60">
        <v>45616</v>
      </c>
      <c r="G29" s="57">
        <v>1800</v>
      </c>
      <c r="H29" s="57">
        <v>5</v>
      </c>
      <c r="I29" s="52" t="s">
        <v>14</v>
      </c>
      <c r="J29" s="52"/>
      <c r="K29" s="52" t="s">
        <v>110</v>
      </c>
      <c r="L29" s="57">
        <v>9</v>
      </c>
      <c r="M29" s="54">
        <v>16200</v>
      </c>
    </row>
    <row r="30" spans="1:13" x14ac:dyDescent="0.3">
      <c r="A30" s="51" t="s">
        <v>78</v>
      </c>
      <c r="B30" s="56">
        <v>48</v>
      </c>
      <c r="C30" s="51" t="s">
        <v>12</v>
      </c>
      <c r="D30" s="51" t="s">
        <v>41</v>
      </c>
      <c r="E30" s="59">
        <v>45451</v>
      </c>
      <c r="F30" s="59">
        <v>45455</v>
      </c>
      <c r="G30" s="56">
        <v>1800</v>
      </c>
      <c r="H30" s="56">
        <v>18</v>
      </c>
      <c r="I30" s="51" t="s">
        <v>67</v>
      </c>
      <c r="J30" s="51"/>
      <c r="K30" s="51" t="s">
        <v>110</v>
      </c>
      <c r="L30" s="56">
        <v>0</v>
      </c>
      <c r="M30" s="53">
        <v>0</v>
      </c>
    </row>
    <row r="31" spans="1:13" x14ac:dyDescent="0.3">
      <c r="A31" s="52" t="s">
        <v>80</v>
      </c>
      <c r="B31" s="57">
        <v>25</v>
      </c>
      <c r="C31" s="52" t="s">
        <v>27</v>
      </c>
      <c r="D31" s="52" t="s">
        <v>22</v>
      </c>
      <c r="E31" s="60">
        <v>45439</v>
      </c>
      <c r="F31" s="60">
        <v>45730</v>
      </c>
      <c r="G31" s="57">
        <v>1200</v>
      </c>
      <c r="H31" s="57">
        <v>6</v>
      </c>
      <c r="I31" s="52" t="s">
        <v>14</v>
      </c>
      <c r="J31" s="52"/>
      <c r="K31" s="52" t="s">
        <v>110</v>
      </c>
      <c r="L31" s="57">
        <v>9</v>
      </c>
      <c r="M31" s="54">
        <v>10800</v>
      </c>
    </row>
    <row r="32" spans="1:13" x14ac:dyDescent="0.3">
      <c r="A32" s="51" t="s">
        <v>82</v>
      </c>
      <c r="B32" s="56">
        <v>53</v>
      </c>
      <c r="C32" s="51" t="s">
        <v>12</v>
      </c>
      <c r="D32" s="51" t="s">
        <v>41</v>
      </c>
      <c r="E32" s="59">
        <v>45286</v>
      </c>
      <c r="F32" s="59">
        <v>45372</v>
      </c>
      <c r="G32" s="56">
        <v>1800</v>
      </c>
      <c r="H32" s="56">
        <v>17</v>
      </c>
      <c r="I32" s="51" t="s">
        <v>35</v>
      </c>
      <c r="J32" s="51" t="s">
        <v>83</v>
      </c>
      <c r="K32" s="51" t="s">
        <v>111</v>
      </c>
      <c r="L32" s="56">
        <v>2</v>
      </c>
      <c r="M32" s="53">
        <v>3600</v>
      </c>
    </row>
    <row r="33" spans="1:13" x14ac:dyDescent="0.3">
      <c r="A33" s="52" t="s">
        <v>85</v>
      </c>
      <c r="B33" s="57">
        <v>42</v>
      </c>
      <c r="C33" s="52" t="s">
        <v>27</v>
      </c>
      <c r="D33" s="52" t="s">
        <v>22</v>
      </c>
      <c r="E33" s="60">
        <v>45702</v>
      </c>
      <c r="F33" s="60">
        <v>45727</v>
      </c>
      <c r="G33" s="57">
        <v>1200</v>
      </c>
      <c r="H33" s="57">
        <v>3</v>
      </c>
      <c r="I33" s="52" t="s">
        <v>67</v>
      </c>
      <c r="J33" s="52"/>
      <c r="K33" s="52" t="s">
        <v>110</v>
      </c>
      <c r="L33" s="57">
        <v>0</v>
      </c>
      <c r="M33" s="54">
        <v>0</v>
      </c>
    </row>
    <row r="34" spans="1:13" x14ac:dyDescent="0.3">
      <c r="A34" s="51" t="s">
        <v>87</v>
      </c>
      <c r="B34" s="56">
        <v>24</v>
      </c>
      <c r="C34" s="51" t="s">
        <v>12</v>
      </c>
      <c r="D34" s="51" t="s">
        <v>31</v>
      </c>
      <c r="E34" s="59">
        <v>45698</v>
      </c>
      <c r="F34" s="59">
        <v>45726</v>
      </c>
      <c r="G34" s="56">
        <v>2500</v>
      </c>
      <c r="H34" s="56">
        <v>28</v>
      </c>
      <c r="I34" s="51" t="s">
        <v>35</v>
      </c>
      <c r="J34" s="51"/>
      <c r="K34" s="51" t="s">
        <v>110</v>
      </c>
      <c r="L34" s="56">
        <v>0</v>
      </c>
      <c r="M34" s="53">
        <v>0</v>
      </c>
    </row>
    <row r="35" spans="1:13" x14ac:dyDescent="0.3">
      <c r="A35" s="52" t="s">
        <v>89</v>
      </c>
      <c r="B35" s="57">
        <v>53</v>
      </c>
      <c r="C35" s="52" t="s">
        <v>12</v>
      </c>
      <c r="D35" s="52" t="s">
        <v>22</v>
      </c>
      <c r="E35" s="60">
        <v>45614</v>
      </c>
      <c r="F35" s="60">
        <v>45645</v>
      </c>
      <c r="G35" s="57">
        <v>1200</v>
      </c>
      <c r="H35" s="57">
        <v>23</v>
      </c>
      <c r="I35" s="52" t="s">
        <v>18</v>
      </c>
      <c r="J35" s="52"/>
      <c r="K35" s="52" t="s">
        <v>110</v>
      </c>
      <c r="L35" s="57">
        <v>1</v>
      </c>
      <c r="M35" s="54">
        <v>1200</v>
      </c>
    </row>
    <row r="36" spans="1:13" x14ac:dyDescent="0.3">
      <c r="A36" s="51" t="s">
        <v>91</v>
      </c>
      <c r="B36" s="56">
        <v>29</v>
      </c>
      <c r="C36" s="51" t="s">
        <v>27</v>
      </c>
      <c r="D36" s="51" t="s">
        <v>31</v>
      </c>
      <c r="E36" s="59">
        <v>45401</v>
      </c>
      <c r="F36" s="59">
        <v>45408</v>
      </c>
      <c r="G36" s="56">
        <v>2500</v>
      </c>
      <c r="H36" s="56">
        <v>8</v>
      </c>
      <c r="I36" s="51" t="s">
        <v>23</v>
      </c>
      <c r="J36" s="51"/>
      <c r="K36" s="51" t="s">
        <v>110</v>
      </c>
      <c r="L36" s="56">
        <v>0</v>
      </c>
      <c r="M36" s="53">
        <v>0</v>
      </c>
    </row>
    <row r="37" spans="1:13" x14ac:dyDescent="0.3">
      <c r="A37" s="52" t="s">
        <v>93</v>
      </c>
      <c r="B37" s="57">
        <v>31</v>
      </c>
      <c r="C37" s="52" t="s">
        <v>27</v>
      </c>
      <c r="D37" s="52" t="s">
        <v>31</v>
      </c>
      <c r="E37" s="60">
        <v>45667</v>
      </c>
      <c r="F37" s="60">
        <v>45745</v>
      </c>
      <c r="G37" s="57">
        <v>2500</v>
      </c>
      <c r="H37" s="57">
        <v>23</v>
      </c>
      <c r="I37" s="52" t="s">
        <v>42</v>
      </c>
      <c r="J37" s="52" t="s">
        <v>94</v>
      </c>
      <c r="K37" s="52" t="s">
        <v>111</v>
      </c>
      <c r="L37" s="57">
        <v>2</v>
      </c>
      <c r="M37" s="54">
        <v>5000</v>
      </c>
    </row>
    <row r="38" spans="1:13" x14ac:dyDescent="0.3">
      <c r="A38" s="51" t="s">
        <v>96</v>
      </c>
      <c r="B38" s="56">
        <v>52</v>
      </c>
      <c r="C38" s="51" t="s">
        <v>27</v>
      </c>
      <c r="D38" s="51" t="s">
        <v>13</v>
      </c>
      <c r="E38" s="59">
        <v>45088</v>
      </c>
      <c r="F38" s="59">
        <v>45656</v>
      </c>
      <c r="G38" s="56">
        <v>800</v>
      </c>
      <c r="H38" s="56">
        <v>9</v>
      </c>
      <c r="I38" s="51" t="s">
        <v>67</v>
      </c>
      <c r="J38" s="51" t="s">
        <v>97</v>
      </c>
      <c r="K38" s="51" t="s">
        <v>111</v>
      </c>
      <c r="L38" s="56">
        <v>18</v>
      </c>
      <c r="M38" s="53">
        <v>14400</v>
      </c>
    </row>
    <row r="39" spans="1:13" x14ac:dyDescent="0.3">
      <c r="A39" s="52" t="s">
        <v>99</v>
      </c>
      <c r="B39" s="57">
        <v>20</v>
      </c>
      <c r="C39" s="52" t="s">
        <v>12</v>
      </c>
      <c r="D39" s="52" t="s">
        <v>22</v>
      </c>
      <c r="E39" s="60">
        <v>45391</v>
      </c>
      <c r="F39" s="60">
        <v>45604</v>
      </c>
      <c r="G39" s="57">
        <v>1200</v>
      </c>
      <c r="H39" s="57">
        <v>2</v>
      </c>
      <c r="I39" s="52" t="s">
        <v>35</v>
      </c>
      <c r="J39" s="52"/>
      <c r="K39" s="52" t="s">
        <v>110</v>
      </c>
      <c r="L39" s="57">
        <v>7</v>
      </c>
      <c r="M39" s="54">
        <v>8400</v>
      </c>
    </row>
    <row r="40" spans="1:13" x14ac:dyDescent="0.3">
      <c r="A40" s="51" t="s">
        <v>101</v>
      </c>
      <c r="B40" s="56">
        <v>22</v>
      </c>
      <c r="C40" s="51" t="s">
        <v>12</v>
      </c>
      <c r="D40" s="51" t="s">
        <v>13</v>
      </c>
      <c r="E40" s="59">
        <v>45699</v>
      </c>
      <c r="F40" s="59">
        <v>45740</v>
      </c>
      <c r="G40" s="56">
        <v>800</v>
      </c>
      <c r="H40" s="56">
        <v>30</v>
      </c>
      <c r="I40" s="51" t="s">
        <v>35</v>
      </c>
      <c r="J40" s="51"/>
      <c r="K40" s="51" t="s">
        <v>110</v>
      </c>
      <c r="L40" s="56">
        <v>1</v>
      </c>
      <c r="M40" s="53">
        <v>800</v>
      </c>
    </row>
    <row r="41" spans="1:13" x14ac:dyDescent="0.3">
      <c r="A41" s="52" t="s">
        <v>103</v>
      </c>
      <c r="B41" s="57">
        <v>23</v>
      </c>
      <c r="C41" s="52" t="s">
        <v>12</v>
      </c>
      <c r="D41" s="52" t="s">
        <v>41</v>
      </c>
      <c r="E41" s="60">
        <v>45588</v>
      </c>
      <c r="F41" s="60">
        <v>45721</v>
      </c>
      <c r="G41" s="57">
        <v>1800</v>
      </c>
      <c r="H41" s="57">
        <v>23</v>
      </c>
      <c r="I41" s="52" t="s">
        <v>18</v>
      </c>
      <c r="J41" s="52" t="s">
        <v>104</v>
      </c>
      <c r="K41" s="52" t="s">
        <v>111</v>
      </c>
      <c r="L41" s="57">
        <v>4</v>
      </c>
      <c r="M41" s="54">
        <v>7200</v>
      </c>
    </row>
    <row r="42" spans="1:13" x14ac:dyDescent="0.3">
      <c r="A42" s="51" t="s">
        <v>106</v>
      </c>
      <c r="B42" s="56">
        <v>27</v>
      </c>
      <c r="C42" s="51" t="s">
        <v>27</v>
      </c>
      <c r="D42" s="51" t="s">
        <v>22</v>
      </c>
      <c r="E42" s="59">
        <v>45312</v>
      </c>
      <c r="F42" s="59">
        <v>45652</v>
      </c>
      <c r="G42" s="56">
        <v>1200</v>
      </c>
      <c r="H42" s="56">
        <v>27</v>
      </c>
      <c r="I42" s="51" t="s">
        <v>18</v>
      </c>
      <c r="J42" s="51"/>
      <c r="K42" s="51" t="s">
        <v>110</v>
      </c>
      <c r="L42" s="56">
        <v>11</v>
      </c>
      <c r="M42" s="53">
        <v>13200</v>
      </c>
    </row>
    <row r="46" spans="1:13" x14ac:dyDescent="0.3">
      <c r="B46" s="4" t="s">
        <v>109</v>
      </c>
      <c r="C46" t="s">
        <v>116</v>
      </c>
      <c r="F46" s="4" t="s">
        <v>109</v>
      </c>
      <c r="G46" t="s">
        <v>116</v>
      </c>
    </row>
    <row r="47" spans="1:13" x14ac:dyDescent="0.3">
      <c r="B47" s="5" t="s">
        <v>13</v>
      </c>
      <c r="C47">
        <v>36000</v>
      </c>
      <c r="F47" s="5" t="s">
        <v>14</v>
      </c>
      <c r="G47">
        <v>55300</v>
      </c>
    </row>
    <row r="48" spans="1:13" x14ac:dyDescent="0.3">
      <c r="B48" s="5" t="s">
        <v>31</v>
      </c>
      <c r="C48">
        <v>75000</v>
      </c>
      <c r="F48" s="5" t="s">
        <v>67</v>
      </c>
      <c r="G48">
        <v>49400</v>
      </c>
    </row>
    <row r="49" spans="2:7" x14ac:dyDescent="0.3">
      <c r="B49" s="5" t="s">
        <v>41</v>
      </c>
      <c r="C49">
        <v>66600</v>
      </c>
      <c r="F49" s="5" t="s">
        <v>23</v>
      </c>
      <c r="G49">
        <v>28800</v>
      </c>
    </row>
    <row r="50" spans="2:7" x14ac:dyDescent="0.3">
      <c r="B50" s="5" t="s">
        <v>22</v>
      </c>
      <c r="C50">
        <v>87600</v>
      </c>
      <c r="F50" s="5" t="s">
        <v>42</v>
      </c>
      <c r="G50">
        <v>32100</v>
      </c>
    </row>
    <row r="51" spans="2:7" x14ac:dyDescent="0.3">
      <c r="B51" s="5" t="s">
        <v>112</v>
      </c>
      <c r="C51">
        <v>265200</v>
      </c>
      <c r="F51" s="5" t="s">
        <v>35</v>
      </c>
      <c r="G51">
        <v>76400</v>
      </c>
    </row>
    <row r="52" spans="2:7" x14ac:dyDescent="0.3">
      <c r="F52" s="5" t="s">
        <v>18</v>
      </c>
      <c r="G52">
        <v>23200</v>
      </c>
    </row>
    <row r="53" spans="2:7" x14ac:dyDescent="0.3">
      <c r="F53" s="5" t="s">
        <v>112</v>
      </c>
      <c r="G53">
        <v>265200</v>
      </c>
    </row>
    <row r="54" spans="2:7" x14ac:dyDescent="0.3">
      <c r="B54" s="46" t="s">
        <v>131</v>
      </c>
      <c r="C54" s="46"/>
    </row>
    <row r="55" spans="2:7" x14ac:dyDescent="0.3">
      <c r="B55" s="46"/>
      <c r="C55" s="46"/>
      <c r="F55" s="46" t="s">
        <v>132</v>
      </c>
      <c r="G55" s="46"/>
    </row>
    <row r="56" spans="2:7" x14ac:dyDescent="0.3">
      <c r="F56" s="46"/>
      <c r="G56" s="46"/>
    </row>
  </sheetData>
  <mergeCells count="2">
    <mergeCell ref="B54:C55"/>
    <mergeCell ref="F55:G56"/>
  </mergeCells>
  <conditionalFormatting sqref="A8:M42">
    <cfRule type="expression" priority="1">
      <formula>AND($G1048518&lt;8, $J1048518&gt;=6)</formula>
    </cfRule>
  </conditionalFormatting>
  <pageMargins left="0.7" right="0.7" top="0.75" bottom="0.75" header="0.3" footer="0.3"/>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590FF-7E63-4A62-9013-3EA9CB9CA693}">
  <dimension ref="A3:O49"/>
  <sheetViews>
    <sheetView topLeftCell="A15" zoomScale="70" zoomScaleNormal="70" workbookViewId="0">
      <selection activeCell="D44" sqref="D44:I49"/>
    </sheetView>
  </sheetViews>
  <sheetFormatPr defaultRowHeight="14.4" x14ac:dyDescent="0.3"/>
  <cols>
    <col min="2" max="2" width="17.88671875" customWidth="1"/>
    <col min="3" max="3" width="13.33203125" customWidth="1"/>
    <col min="4" max="4" width="13.44140625" customWidth="1"/>
    <col min="5" max="5" width="18.6640625" customWidth="1"/>
    <col min="6" max="6" width="16.5546875" customWidth="1"/>
    <col min="7" max="7" width="15.21875" customWidth="1"/>
    <col min="8" max="8" width="14" customWidth="1"/>
    <col min="9" max="9" width="12.6640625" customWidth="1"/>
    <col min="10" max="10" width="15.44140625" customWidth="1"/>
    <col min="11" max="11" width="16.44140625" customWidth="1"/>
    <col min="12" max="12" width="24.6640625" customWidth="1"/>
    <col min="13" max="13" width="13.33203125" customWidth="1"/>
    <col min="14" max="14" width="15.44140625" customWidth="1"/>
    <col min="15" max="15" width="22.21875" customWidth="1"/>
  </cols>
  <sheetData>
    <row r="3" spans="1:15" ht="25.8" x14ac:dyDescent="0.5">
      <c r="A3" s="61"/>
      <c r="B3" s="61"/>
      <c r="C3" s="61"/>
      <c r="D3" s="62" t="s">
        <v>133</v>
      </c>
      <c r="E3" s="62"/>
      <c r="F3" s="62"/>
      <c r="G3" s="62"/>
      <c r="H3" s="62"/>
      <c r="I3" s="62"/>
      <c r="J3" s="62"/>
      <c r="K3" s="62"/>
      <c r="L3" s="62"/>
      <c r="M3" s="62"/>
      <c r="N3" s="62"/>
      <c r="O3" s="62"/>
    </row>
    <row r="5" spans="1:15" x14ac:dyDescent="0.3">
      <c r="A5" s="77" t="s">
        <v>107</v>
      </c>
      <c r="B5" s="77" t="s">
        <v>0</v>
      </c>
      <c r="C5" s="78" t="s">
        <v>1</v>
      </c>
      <c r="D5" s="77" t="s">
        <v>2</v>
      </c>
      <c r="E5" s="77" t="s">
        <v>3</v>
      </c>
      <c r="F5" s="78" t="s">
        <v>4</v>
      </c>
      <c r="G5" s="79" t="s">
        <v>5</v>
      </c>
      <c r="H5" s="79" t="s">
        <v>6</v>
      </c>
      <c r="I5" s="79" t="s">
        <v>7</v>
      </c>
      <c r="J5" s="77" t="s">
        <v>8</v>
      </c>
      <c r="K5" s="80" t="s">
        <v>9</v>
      </c>
      <c r="L5" s="80" t="s">
        <v>115</v>
      </c>
      <c r="M5" s="80" t="s">
        <v>108</v>
      </c>
      <c r="N5" s="77" t="s">
        <v>114</v>
      </c>
      <c r="O5" s="81" t="s">
        <v>118</v>
      </c>
    </row>
    <row r="6" spans="1:15" x14ac:dyDescent="0.3">
      <c r="A6" s="20" t="s">
        <v>10</v>
      </c>
      <c r="B6" s="21" t="s">
        <v>11</v>
      </c>
      <c r="C6" s="63">
        <v>59</v>
      </c>
      <c r="D6" s="21" t="s">
        <v>12</v>
      </c>
      <c r="E6" s="21" t="s">
        <v>13</v>
      </c>
      <c r="F6" s="64">
        <v>45235</v>
      </c>
      <c r="G6" s="65">
        <v>45425</v>
      </c>
      <c r="H6" s="66">
        <v>800</v>
      </c>
      <c r="I6" s="66">
        <v>25</v>
      </c>
      <c r="J6" s="21" t="s">
        <v>14</v>
      </c>
      <c r="K6" s="21" t="s">
        <v>15</v>
      </c>
      <c r="L6" s="63">
        <f>INT((Table8[[#This Row],[End_Date]]-Table8[[#This Row],[Start_Date]])/30)</f>
        <v>6</v>
      </c>
      <c r="M6" s="63" t="str">
        <f>IF(Table8[[#This Row],[Referred_By]]&lt;&gt;"","Yes","No")</f>
        <v>Yes</v>
      </c>
      <c r="N6" s="63">
        <f>Table8[[#This Row],[Monthly_Fee]]*Table8[[#This Row],[Membership_Duration_M]]</f>
        <v>4800</v>
      </c>
      <c r="O6" s="21" t="str">
        <f>IF(AND(Table8[[#This Row],[Attendance]]&lt;8,Table8[[#This Row],[Membership_Duration_M]]&gt;=6),"Low Engagement","")</f>
        <v/>
      </c>
    </row>
    <row r="7" spans="1:15" x14ac:dyDescent="0.3">
      <c r="A7" s="22" t="s">
        <v>16</v>
      </c>
      <c r="B7" s="23" t="s">
        <v>17</v>
      </c>
      <c r="C7" s="67">
        <v>27</v>
      </c>
      <c r="D7" s="23" t="s">
        <v>12</v>
      </c>
      <c r="E7" s="23" t="s">
        <v>13</v>
      </c>
      <c r="F7" s="68">
        <v>45714</v>
      </c>
      <c r="G7" s="69">
        <v>45740</v>
      </c>
      <c r="H7" s="70">
        <v>800</v>
      </c>
      <c r="I7" s="70">
        <v>20</v>
      </c>
      <c r="J7" s="23" t="s">
        <v>18</v>
      </c>
      <c r="K7" s="23" t="s">
        <v>19</v>
      </c>
      <c r="L7" s="67">
        <f>INT((Table8[[#This Row],[End_Date]]-Table8[[#This Row],[Start_Date]])/30)</f>
        <v>0</v>
      </c>
      <c r="M7" s="67" t="str">
        <f>IF(Table8[[#This Row],[Referred_By]]&lt;&gt;"","Yes","No")</f>
        <v>Yes</v>
      </c>
      <c r="N7" s="67">
        <f>Table8[[#This Row],[Monthly_Fee]]*Table8[[#This Row],[Membership_Duration_M]]</f>
        <v>0</v>
      </c>
      <c r="O7" s="23" t="str">
        <f>IF(AND(Table8[[#This Row],[Attendance]]&lt;8,Table8[[#This Row],[Membership_Duration_M]]&gt;=6),"Low Engagement","")</f>
        <v/>
      </c>
    </row>
    <row r="8" spans="1:15" x14ac:dyDescent="0.3">
      <c r="A8" s="20" t="s">
        <v>20</v>
      </c>
      <c r="B8" s="21" t="s">
        <v>21</v>
      </c>
      <c r="C8" s="63">
        <v>24</v>
      </c>
      <c r="D8" s="21" t="s">
        <v>12</v>
      </c>
      <c r="E8" s="21" t="s">
        <v>22</v>
      </c>
      <c r="F8" s="64">
        <v>45191</v>
      </c>
      <c r="G8" s="65">
        <v>45371</v>
      </c>
      <c r="H8" s="66">
        <v>1200</v>
      </c>
      <c r="I8" s="66">
        <v>18</v>
      </c>
      <c r="J8" s="21" t="s">
        <v>23</v>
      </c>
      <c r="K8" s="21" t="s">
        <v>24</v>
      </c>
      <c r="L8" s="63">
        <f>INT((Table8[[#This Row],[End_Date]]-Table8[[#This Row],[Start_Date]])/30)</f>
        <v>6</v>
      </c>
      <c r="M8" s="63" t="str">
        <f>IF(Table8[[#This Row],[Referred_By]]&lt;&gt;"","Yes","No")</f>
        <v>Yes</v>
      </c>
      <c r="N8" s="63">
        <f>Table8[[#This Row],[Monthly_Fee]]*Table8[[#This Row],[Membership_Duration_M]]</f>
        <v>7200</v>
      </c>
      <c r="O8" s="21" t="str">
        <f>IF(AND(Table8[[#This Row],[Attendance]]&lt;8,Table8[[#This Row],[Membership_Duration_M]]&gt;=6),"Low Engagement","")</f>
        <v/>
      </c>
    </row>
    <row r="9" spans="1:15" x14ac:dyDescent="0.3">
      <c r="A9" s="22" t="s">
        <v>25</v>
      </c>
      <c r="B9" s="23" t="s">
        <v>26</v>
      </c>
      <c r="C9" s="67">
        <v>31</v>
      </c>
      <c r="D9" s="23" t="s">
        <v>27</v>
      </c>
      <c r="E9" s="23" t="s">
        <v>22</v>
      </c>
      <c r="F9" s="68">
        <v>45479</v>
      </c>
      <c r="G9" s="69">
        <v>45587</v>
      </c>
      <c r="H9" s="70">
        <v>1200</v>
      </c>
      <c r="I9" s="70">
        <v>16</v>
      </c>
      <c r="J9" s="23" t="s">
        <v>23</v>
      </c>
      <c r="K9" s="23" t="s">
        <v>28</v>
      </c>
      <c r="L9" s="67">
        <f>INT((Table8[[#This Row],[End_Date]]-Table8[[#This Row],[Start_Date]])/30)</f>
        <v>3</v>
      </c>
      <c r="M9" s="67" t="str">
        <f>IF(Table8[[#This Row],[Referred_By]]&lt;&gt;"","Yes","No")</f>
        <v>Yes</v>
      </c>
      <c r="N9" s="67">
        <f>Table8[[#This Row],[Monthly_Fee]]*Table8[[#This Row],[Membership_Duration_M]]</f>
        <v>3600</v>
      </c>
      <c r="O9" s="23" t="str">
        <f>IF(AND(Table8[[#This Row],[Attendance]]&lt;8,Table8[[#This Row],[Membership_Duration_M]]&gt;=6),"Low Engagement","")</f>
        <v/>
      </c>
    </row>
    <row r="10" spans="1:15" x14ac:dyDescent="0.3">
      <c r="A10" s="20" t="s">
        <v>29</v>
      </c>
      <c r="B10" s="21" t="s">
        <v>30</v>
      </c>
      <c r="C10" s="63">
        <v>19</v>
      </c>
      <c r="D10" s="21" t="s">
        <v>12</v>
      </c>
      <c r="E10" s="21" t="s">
        <v>31</v>
      </c>
      <c r="F10" s="64">
        <v>45286</v>
      </c>
      <c r="G10" s="65">
        <v>45501</v>
      </c>
      <c r="H10" s="66">
        <v>2500</v>
      </c>
      <c r="I10" s="66">
        <v>12</v>
      </c>
      <c r="J10" s="21" t="s">
        <v>14</v>
      </c>
      <c r="K10" s="21" t="s">
        <v>32</v>
      </c>
      <c r="L10" s="63">
        <f>INT((Table8[[#This Row],[End_Date]]-Table8[[#This Row],[Start_Date]])/30)</f>
        <v>7</v>
      </c>
      <c r="M10" s="63" t="str">
        <f>IF(Table8[[#This Row],[Referred_By]]&lt;&gt;"","Yes","No")</f>
        <v>Yes</v>
      </c>
      <c r="N10" s="63">
        <f>Table8[[#This Row],[Monthly_Fee]]*Table8[[#This Row],[Membership_Duration_M]]</f>
        <v>17500</v>
      </c>
      <c r="O10" s="21" t="str">
        <f>IF(AND(Table8[[#This Row],[Attendance]]&lt;8,Table8[[#This Row],[Membership_Duration_M]]&gt;=6),"Low Engagement","")</f>
        <v/>
      </c>
    </row>
    <row r="11" spans="1:15" x14ac:dyDescent="0.3">
      <c r="A11" s="22" t="s">
        <v>33</v>
      </c>
      <c r="B11" s="23" t="s">
        <v>34</v>
      </c>
      <c r="C11" s="67">
        <v>40</v>
      </c>
      <c r="D11" s="23" t="s">
        <v>12</v>
      </c>
      <c r="E11" s="23" t="s">
        <v>13</v>
      </c>
      <c r="F11" s="68">
        <v>45317</v>
      </c>
      <c r="G11" s="69">
        <v>45392</v>
      </c>
      <c r="H11" s="70">
        <v>800</v>
      </c>
      <c r="I11" s="70">
        <v>14</v>
      </c>
      <c r="J11" s="23" t="s">
        <v>35</v>
      </c>
      <c r="K11" s="23" t="s">
        <v>36</v>
      </c>
      <c r="L11" s="67">
        <f>INT((Table8[[#This Row],[End_Date]]-Table8[[#This Row],[Start_Date]])/30)</f>
        <v>2</v>
      </c>
      <c r="M11" s="67" t="str">
        <f>IF(Table8[[#This Row],[Referred_By]]&lt;&gt;"","Yes","No")</f>
        <v>Yes</v>
      </c>
      <c r="N11" s="67">
        <f>Table8[[#This Row],[Monthly_Fee]]*Table8[[#This Row],[Membership_Duration_M]]</f>
        <v>1600</v>
      </c>
      <c r="O11" s="23" t="str">
        <f>IF(AND(Table8[[#This Row],[Attendance]]&lt;8,Table8[[#This Row],[Membership_Duration_M]]&gt;=6),"Low Engagement","")</f>
        <v/>
      </c>
    </row>
    <row r="12" spans="1:15" x14ac:dyDescent="0.3">
      <c r="A12" s="20" t="s">
        <v>37</v>
      </c>
      <c r="B12" s="21" t="s">
        <v>38</v>
      </c>
      <c r="C12" s="63">
        <v>41</v>
      </c>
      <c r="D12" s="21" t="s">
        <v>27</v>
      </c>
      <c r="E12" s="21" t="s">
        <v>13</v>
      </c>
      <c r="F12" s="64">
        <v>45588</v>
      </c>
      <c r="G12" s="65">
        <v>45677</v>
      </c>
      <c r="H12" s="66">
        <v>800</v>
      </c>
      <c r="I12" s="66">
        <v>25</v>
      </c>
      <c r="J12" s="21" t="s">
        <v>18</v>
      </c>
      <c r="K12" s="21"/>
      <c r="L12" s="63">
        <f>INT((Table8[[#This Row],[End_Date]]-Table8[[#This Row],[Start_Date]])/30)</f>
        <v>2</v>
      </c>
      <c r="M12" s="63" t="str">
        <f>IF(Table8[[#This Row],[Referred_By]]&lt;&gt;"","Yes","No")</f>
        <v>No</v>
      </c>
      <c r="N12" s="63">
        <f>Table8[[#This Row],[Monthly_Fee]]*Table8[[#This Row],[Membership_Duration_M]]</f>
        <v>1600</v>
      </c>
      <c r="O12" s="21" t="str">
        <f>IF(AND(Table8[[#This Row],[Attendance]]&lt;8,Table8[[#This Row],[Membership_Duration_M]]&gt;=6),"Low Engagement","")</f>
        <v/>
      </c>
    </row>
    <row r="13" spans="1:15" x14ac:dyDescent="0.3">
      <c r="A13" s="22" t="s">
        <v>39</v>
      </c>
      <c r="B13" s="23" t="s">
        <v>40</v>
      </c>
      <c r="C13" s="67">
        <v>43</v>
      </c>
      <c r="D13" s="23" t="s">
        <v>12</v>
      </c>
      <c r="E13" s="23" t="s">
        <v>41</v>
      </c>
      <c r="F13" s="68">
        <v>45450</v>
      </c>
      <c r="G13" s="69">
        <v>45563</v>
      </c>
      <c r="H13" s="70">
        <v>1800</v>
      </c>
      <c r="I13" s="70">
        <v>28</v>
      </c>
      <c r="J13" s="23" t="s">
        <v>42</v>
      </c>
      <c r="K13" s="23"/>
      <c r="L13" s="67">
        <f>INT((Table8[[#This Row],[End_Date]]-Table8[[#This Row],[Start_Date]])/30)</f>
        <v>3</v>
      </c>
      <c r="M13" s="67" t="str">
        <f>IF(Table8[[#This Row],[Referred_By]]&lt;&gt;"","Yes","No")</f>
        <v>No</v>
      </c>
      <c r="N13" s="67">
        <f>Table8[[#This Row],[Monthly_Fee]]*Table8[[#This Row],[Membership_Duration_M]]</f>
        <v>5400</v>
      </c>
      <c r="O13" s="23" t="str">
        <f>IF(AND(Table8[[#This Row],[Attendance]]&lt;8,Table8[[#This Row],[Membership_Duration_M]]&gt;=6),"Low Engagement","")</f>
        <v/>
      </c>
    </row>
    <row r="14" spans="1:15" x14ac:dyDescent="0.3">
      <c r="A14" s="20" t="s">
        <v>43</v>
      </c>
      <c r="B14" s="21" t="s">
        <v>44</v>
      </c>
      <c r="C14" s="63">
        <v>42</v>
      </c>
      <c r="D14" s="21" t="s">
        <v>12</v>
      </c>
      <c r="E14" s="21" t="s">
        <v>13</v>
      </c>
      <c r="F14" s="64">
        <v>45569</v>
      </c>
      <c r="G14" s="65">
        <v>45582</v>
      </c>
      <c r="H14" s="66">
        <v>800</v>
      </c>
      <c r="I14" s="66">
        <v>3</v>
      </c>
      <c r="J14" s="21" t="s">
        <v>42</v>
      </c>
      <c r="K14" s="21" t="s">
        <v>45</v>
      </c>
      <c r="L14" s="63">
        <f>INT((Table8[[#This Row],[End_Date]]-Table8[[#This Row],[Start_Date]])/30)</f>
        <v>0</v>
      </c>
      <c r="M14" s="63" t="str">
        <f>IF(Table8[[#This Row],[Referred_By]]&lt;&gt;"","Yes","No")</f>
        <v>Yes</v>
      </c>
      <c r="N14" s="63">
        <f>Table8[[#This Row],[Monthly_Fee]]*Table8[[#This Row],[Membership_Duration_M]]</f>
        <v>0</v>
      </c>
      <c r="O14" s="21" t="str">
        <f>IF(AND(Table8[[#This Row],[Attendance]]&lt;8,Table8[[#This Row],[Membership_Duration_M]]&gt;=6),"Low Engagement","")</f>
        <v/>
      </c>
    </row>
    <row r="15" spans="1:15" x14ac:dyDescent="0.3">
      <c r="A15" s="22" t="s">
        <v>46</v>
      </c>
      <c r="B15" s="23" t="s">
        <v>47</v>
      </c>
      <c r="C15" s="67">
        <v>37</v>
      </c>
      <c r="D15" s="23" t="s">
        <v>12</v>
      </c>
      <c r="E15" s="23" t="s">
        <v>22</v>
      </c>
      <c r="F15" s="68">
        <v>45202</v>
      </c>
      <c r="G15" s="69">
        <v>45280</v>
      </c>
      <c r="H15" s="70">
        <v>1200</v>
      </c>
      <c r="I15" s="70">
        <v>29</v>
      </c>
      <c r="J15" s="23" t="s">
        <v>35</v>
      </c>
      <c r="K15" s="23" t="s">
        <v>48</v>
      </c>
      <c r="L15" s="67">
        <f>INT((Table8[[#This Row],[End_Date]]-Table8[[#This Row],[Start_Date]])/30)</f>
        <v>2</v>
      </c>
      <c r="M15" s="67" t="str">
        <f>IF(Table8[[#This Row],[Referred_By]]&lt;&gt;"","Yes","No")</f>
        <v>Yes</v>
      </c>
      <c r="N15" s="67">
        <f>Table8[[#This Row],[Monthly_Fee]]*Table8[[#This Row],[Membership_Duration_M]]</f>
        <v>2400</v>
      </c>
      <c r="O15" s="23" t="str">
        <f>IF(AND(Table8[[#This Row],[Attendance]]&lt;8,Table8[[#This Row],[Membership_Duration_M]]&gt;=6),"Low Engagement","")</f>
        <v/>
      </c>
    </row>
    <row r="16" spans="1:15" x14ac:dyDescent="0.3">
      <c r="A16" s="20" t="s">
        <v>49</v>
      </c>
      <c r="B16" s="21" t="s">
        <v>50</v>
      </c>
      <c r="C16" s="63">
        <v>48</v>
      </c>
      <c r="D16" s="21" t="s">
        <v>27</v>
      </c>
      <c r="E16" s="21" t="s">
        <v>22</v>
      </c>
      <c r="F16" s="64">
        <v>45297</v>
      </c>
      <c r="G16" s="65">
        <v>45459</v>
      </c>
      <c r="H16" s="66">
        <v>1200</v>
      </c>
      <c r="I16" s="66">
        <v>13</v>
      </c>
      <c r="J16" s="21" t="s">
        <v>14</v>
      </c>
      <c r="K16" s="21" t="s">
        <v>51</v>
      </c>
      <c r="L16" s="63">
        <f>INT((Table8[[#This Row],[End_Date]]-Table8[[#This Row],[Start_Date]])/30)</f>
        <v>5</v>
      </c>
      <c r="M16" s="63" t="str">
        <f>IF(Table8[[#This Row],[Referred_By]]&lt;&gt;"","Yes","No")</f>
        <v>Yes</v>
      </c>
      <c r="N16" s="63">
        <f>Table8[[#This Row],[Monthly_Fee]]*Table8[[#This Row],[Membership_Duration_M]]</f>
        <v>6000</v>
      </c>
      <c r="O16" s="21" t="str">
        <f>IF(AND(Table8[[#This Row],[Attendance]]&lt;8,Table8[[#This Row],[Membership_Duration_M]]&gt;=6),"Low Engagement","")</f>
        <v/>
      </c>
    </row>
    <row r="17" spans="1:15" x14ac:dyDescent="0.3">
      <c r="A17" s="22" t="s">
        <v>52</v>
      </c>
      <c r="B17" s="23" t="s">
        <v>53</v>
      </c>
      <c r="C17" s="67">
        <v>36</v>
      </c>
      <c r="D17" s="23" t="s">
        <v>12</v>
      </c>
      <c r="E17" s="23" t="s">
        <v>22</v>
      </c>
      <c r="F17" s="68">
        <v>45154</v>
      </c>
      <c r="G17" s="69">
        <v>45568</v>
      </c>
      <c r="H17" s="70">
        <v>1200</v>
      </c>
      <c r="I17" s="70">
        <v>19</v>
      </c>
      <c r="J17" s="23" t="s">
        <v>42</v>
      </c>
      <c r="K17" s="23" t="s">
        <v>54</v>
      </c>
      <c r="L17" s="67">
        <f>INT((Table8[[#This Row],[End_Date]]-Table8[[#This Row],[Start_Date]])/30)</f>
        <v>13</v>
      </c>
      <c r="M17" s="67" t="str">
        <f>IF(Table8[[#This Row],[Referred_By]]&lt;&gt;"","Yes","No")</f>
        <v>Yes</v>
      </c>
      <c r="N17" s="67">
        <f>Table8[[#This Row],[Monthly_Fee]]*Table8[[#This Row],[Membership_Duration_M]]</f>
        <v>15600</v>
      </c>
      <c r="O17" s="23" t="str">
        <f>IF(AND(Table8[[#This Row],[Attendance]]&lt;8,Table8[[#This Row],[Membership_Duration_M]]&gt;=6),"Low Engagement","")</f>
        <v/>
      </c>
    </row>
    <row r="18" spans="1:15" x14ac:dyDescent="0.3">
      <c r="A18" s="20" t="s">
        <v>55</v>
      </c>
      <c r="B18" s="21" t="s">
        <v>56</v>
      </c>
      <c r="C18" s="63">
        <v>48</v>
      </c>
      <c r="D18" s="21" t="s">
        <v>27</v>
      </c>
      <c r="E18" s="21" t="s">
        <v>41</v>
      </c>
      <c r="F18" s="64">
        <v>45556</v>
      </c>
      <c r="G18" s="65">
        <v>45641</v>
      </c>
      <c r="H18" s="66">
        <v>1800</v>
      </c>
      <c r="I18" s="66">
        <v>22</v>
      </c>
      <c r="J18" s="21" t="s">
        <v>42</v>
      </c>
      <c r="K18" s="21"/>
      <c r="L18" s="63">
        <f>INT((Table8[[#This Row],[End_Date]]-Table8[[#This Row],[Start_Date]])/30)</f>
        <v>2</v>
      </c>
      <c r="M18" s="63" t="str">
        <f>IF(Table8[[#This Row],[Referred_By]]&lt;&gt;"","Yes","No")</f>
        <v>No</v>
      </c>
      <c r="N18" s="63">
        <f>Table8[[#This Row],[Monthly_Fee]]*Table8[[#This Row],[Membership_Duration_M]]</f>
        <v>3600</v>
      </c>
      <c r="O18" s="21" t="str">
        <f>IF(AND(Table8[[#This Row],[Attendance]]&lt;8,Table8[[#This Row],[Membership_Duration_M]]&gt;=6),"Low Engagement","")</f>
        <v/>
      </c>
    </row>
    <row r="19" spans="1:15" x14ac:dyDescent="0.3">
      <c r="A19" s="22" t="s">
        <v>57</v>
      </c>
      <c r="B19" s="23" t="s">
        <v>58</v>
      </c>
      <c r="C19" s="67">
        <v>39</v>
      </c>
      <c r="D19" s="23" t="s">
        <v>12</v>
      </c>
      <c r="E19" s="23" t="s">
        <v>22</v>
      </c>
      <c r="F19" s="68">
        <v>45065</v>
      </c>
      <c r="G19" s="69">
        <v>45242</v>
      </c>
      <c r="H19" s="70">
        <v>1200</v>
      </c>
      <c r="I19" s="70">
        <v>28</v>
      </c>
      <c r="J19" s="23" t="s">
        <v>35</v>
      </c>
      <c r="K19" s="23"/>
      <c r="L19" s="67">
        <f>INT((Table8[[#This Row],[End_Date]]-Table8[[#This Row],[Start_Date]])/30)</f>
        <v>5</v>
      </c>
      <c r="M19" s="67" t="str">
        <f>IF(Table8[[#This Row],[Referred_By]]&lt;&gt;"","Yes","No")</f>
        <v>No</v>
      </c>
      <c r="N19" s="67">
        <f>Table8[[#This Row],[Monthly_Fee]]*Table8[[#This Row],[Membership_Duration_M]]</f>
        <v>6000</v>
      </c>
      <c r="O19" s="23" t="str">
        <f>IF(AND(Table8[[#This Row],[Attendance]]&lt;8,Table8[[#This Row],[Membership_Duration_M]]&gt;=6),"Low Engagement","")</f>
        <v/>
      </c>
    </row>
    <row r="20" spans="1:15" x14ac:dyDescent="0.3">
      <c r="A20" s="20" t="s">
        <v>59</v>
      </c>
      <c r="B20" s="21" t="s">
        <v>60</v>
      </c>
      <c r="C20" s="63">
        <v>44</v>
      </c>
      <c r="D20" s="21" t="s">
        <v>27</v>
      </c>
      <c r="E20" s="21" t="s">
        <v>13</v>
      </c>
      <c r="F20" s="64">
        <v>45333</v>
      </c>
      <c r="G20" s="65">
        <v>45540</v>
      </c>
      <c r="H20" s="66">
        <v>800</v>
      </c>
      <c r="I20" s="66">
        <v>8</v>
      </c>
      <c r="J20" s="21" t="s">
        <v>23</v>
      </c>
      <c r="K20" s="21"/>
      <c r="L20" s="63">
        <f>INT((Table8[[#This Row],[End_Date]]-Table8[[#This Row],[Start_Date]])/30)</f>
        <v>6</v>
      </c>
      <c r="M20" s="63" t="str">
        <f>IF(Table8[[#This Row],[Referred_By]]&lt;&gt;"","Yes","No")</f>
        <v>No</v>
      </c>
      <c r="N20" s="63">
        <f>Table8[[#This Row],[Monthly_Fee]]*Table8[[#This Row],[Membership_Duration_M]]</f>
        <v>4800</v>
      </c>
      <c r="O20" s="21" t="str">
        <f>IF(AND(Table8[[#This Row],[Attendance]]&lt;8,Table8[[#This Row],[Membership_Duration_M]]&gt;=6),"Low Engagement","")</f>
        <v/>
      </c>
    </row>
    <row r="21" spans="1:15" x14ac:dyDescent="0.3">
      <c r="A21" s="22" t="s">
        <v>61</v>
      </c>
      <c r="B21" s="23" t="s">
        <v>62</v>
      </c>
      <c r="C21" s="67">
        <v>39</v>
      </c>
      <c r="D21" s="23" t="s">
        <v>12</v>
      </c>
      <c r="E21" s="23" t="s">
        <v>31</v>
      </c>
      <c r="F21" s="68">
        <v>45702</v>
      </c>
      <c r="G21" s="69">
        <v>45732</v>
      </c>
      <c r="H21" s="70">
        <v>2500</v>
      </c>
      <c r="I21" s="70">
        <v>14</v>
      </c>
      <c r="J21" s="23" t="s">
        <v>42</v>
      </c>
      <c r="K21" s="23"/>
      <c r="L21" s="67">
        <f>INT((Table8[[#This Row],[End_Date]]-Table8[[#This Row],[Start_Date]])/30)</f>
        <v>1</v>
      </c>
      <c r="M21" s="67" t="str">
        <f>IF(Table8[[#This Row],[Referred_By]]&lt;&gt;"","Yes","No")</f>
        <v>No</v>
      </c>
      <c r="N21" s="67">
        <f>Table8[[#This Row],[Monthly_Fee]]*Table8[[#This Row],[Membership_Duration_M]]</f>
        <v>2500</v>
      </c>
      <c r="O21" s="23" t="str">
        <f>IF(AND(Table8[[#This Row],[Attendance]]&lt;8,Table8[[#This Row],[Membership_Duration_M]]&gt;=6),"Low Engagement","")</f>
        <v/>
      </c>
    </row>
    <row r="22" spans="1:15" x14ac:dyDescent="0.3">
      <c r="A22" s="20" t="s">
        <v>63</v>
      </c>
      <c r="B22" s="21" t="s">
        <v>64</v>
      </c>
      <c r="C22" s="63">
        <v>35</v>
      </c>
      <c r="D22" s="21" t="s">
        <v>12</v>
      </c>
      <c r="E22" s="21" t="s">
        <v>22</v>
      </c>
      <c r="F22" s="64">
        <v>45329</v>
      </c>
      <c r="G22" s="65">
        <v>45685</v>
      </c>
      <c r="H22" s="66">
        <v>1200</v>
      </c>
      <c r="I22" s="66">
        <v>25</v>
      </c>
      <c r="J22" s="21" t="s">
        <v>23</v>
      </c>
      <c r="K22" s="21"/>
      <c r="L22" s="63">
        <f>INT((Table8[[#This Row],[End_Date]]-Table8[[#This Row],[Start_Date]])/30)</f>
        <v>11</v>
      </c>
      <c r="M22" s="63" t="str">
        <f>IF(Table8[[#This Row],[Referred_By]]&lt;&gt;"","Yes","No")</f>
        <v>No</v>
      </c>
      <c r="N22" s="63">
        <f>Table8[[#This Row],[Monthly_Fee]]*Table8[[#This Row],[Membership_Duration_M]]</f>
        <v>13200</v>
      </c>
      <c r="O22" s="21" t="str">
        <f>IF(AND(Table8[[#This Row],[Attendance]]&lt;8,Table8[[#This Row],[Membership_Duration_M]]&gt;=6),"Low Engagement","")</f>
        <v/>
      </c>
    </row>
    <row r="23" spans="1:15" x14ac:dyDescent="0.3">
      <c r="A23" s="22" t="s">
        <v>65</v>
      </c>
      <c r="B23" s="23" t="s">
        <v>66</v>
      </c>
      <c r="C23" s="67">
        <v>56</v>
      </c>
      <c r="D23" s="23" t="s">
        <v>27</v>
      </c>
      <c r="E23" s="23" t="s">
        <v>31</v>
      </c>
      <c r="F23" s="68">
        <v>45213</v>
      </c>
      <c r="G23" s="69">
        <v>45649</v>
      </c>
      <c r="H23" s="70">
        <v>2500</v>
      </c>
      <c r="I23" s="70">
        <v>13</v>
      </c>
      <c r="J23" s="23" t="s">
        <v>67</v>
      </c>
      <c r="K23" s="23"/>
      <c r="L23" s="67">
        <f>INT((Table8[[#This Row],[End_Date]]-Table8[[#This Row],[Start_Date]])/30)</f>
        <v>14</v>
      </c>
      <c r="M23" s="67" t="str">
        <f>IF(Table8[[#This Row],[Referred_By]]&lt;&gt;"","Yes","No")</f>
        <v>No</v>
      </c>
      <c r="N23" s="67">
        <f>Table8[[#This Row],[Monthly_Fee]]*Table8[[#This Row],[Membership_Duration_M]]</f>
        <v>35000</v>
      </c>
      <c r="O23" s="23" t="str">
        <f>IF(AND(Table8[[#This Row],[Attendance]]&lt;8,Table8[[#This Row],[Membership_Duration_M]]&gt;=6),"Low Engagement","")</f>
        <v/>
      </c>
    </row>
    <row r="24" spans="1:15" x14ac:dyDescent="0.3">
      <c r="A24" s="20" t="s">
        <v>68</v>
      </c>
      <c r="B24" s="21" t="s">
        <v>69</v>
      </c>
      <c r="C24" s="63">
        <v>27</v>
      </c>
      <c r="D24" s="21" t="s">
        <v>27</v>
      </c>
      <c r="E24" s="21" t="s">
        <v>13</v>
      </c>
      <c r="F24" s="64">
        <v>45354</v>
      </c>
      <c r="G24" s="65">
        <v>45664</v>
      </c>
      <c r="H24" s="66">
        <v>800</v>
      </c>
      <c r="I24" s="66">
        <v>26</v>
      </c>
      <c r="J24" s="21" t="s">
        <v>35</v>
      </c>
      <c r="K24" s="21"/>
      <c r="L24" s="63">
        <f>INT((Table8[[#This Row],[End_Date]]-Table8[[#This Row],[Start_Date]])/30)</f>
        <v>10</v>
      </c>
      <c r="M24" s="63" t="str">
        <f>IF(Table8[[#This Row],[Referred_By]]&lt;&gt;"","Yes","No")</f>
        <v>No</v>
      </c>
      <c r="N24" s="63">
        <f>Table8[[#This Row],[Monthly_Fee]]*Table8[[#This Row],[Membership_Duration_M]]</f>
        <v>8000</v>
      </c>
      <c r="O24" s="21" t="str">
        <f>IF(AND(Table8[[#This Row],[Attendance]]&lt;8,Table8[[#This Row],[Membership_Duration_M]]&gt;=6),"Low Engagement","")</f>
        <v/>
      </c>
    </row>
    <row r="25" spans="1:15" x14ac:dyDescent="0.3">
      <c r="A25" s="22" t="s">
        <v>70</v>
      </c>
      <c r="B25" s="23" t="s">
        <v>71</v>
      </c>
      <c r="C25" s="67">
        <v>28</v>
      </c>
      <c r="D25" s="23" t="s">
        <v>12</v>
      </c>
      <c r="E25" s="23" t="s">
        <v>31</v>
      </c>
      <c r="F25" s="68">
        <v>45417</v>
      </c>
      <c r="G25" s="69">
        <v>45608</v>
      </c>
      <c r="H25" s="70">
        <v>2500</v>
      </c>
      <c r="I25" s="70">
        <v>21</v>
      </c>
      <c r="J25" s="23" t="s">
        <v>35</v>
      </c>
      <c r="K25" s="23" t="s">
        <v>72</v>
      </c>
      <c r="L25" s="67">
        <f>INT((Table8[[#This Row],[End_Date]]-Table8[[#This Row],[Start_Date]])/30)</f>
        <v>6</v>
      </c>
      <c r="M25" s="67" t="str">
        <f>IF(Table8[[#This Row],[Referred_By]]&lt;&gt;"","Yes","No")</f>
        <v>Yes</v>
      </c>
      <c r="N25" s="67">
        <f>Table8[[#This Row],[Monthly_Fee]]*Table8[[#This Row],[Membership_Duration_M]]</f>
        <v>15000</v>
      </c>
      <c r="O25" s="23" t="str">
        <f>IF(AND(Table8[[#This Row],[Attendance]]&lt;8,Table8[[#This Row],[Membership_Duration_M]]&gt;=6),"Low Engagement","")</f>
        <v/>
      </c>
    </row>
    <row r="26" spans="1:15" x14ac:dyDescent="0.3">
      <c r="A26" s="20" t="s">
        <v>73</v>
      </c>
      <c r="B26" s="21" t="s">
        <v>74</v>
      </c>
      <c r="C26" s="63">
        <v>57</v>
      </c>
      <c r="D26" s="21" t="s">
        <v>27</v>
      </c>
      <c r="E26" s="21" t="s">
        <v>41</v>
      </c>
      <c r="F26" s="64">
        <v>45146</v>
      </c>
      <c r="G26" s="65">
        <v>45674</v>
      </c>
      <c r="H26" s="66">
        <v>1800</v>
      </c>
      <c r="I26" s="66">
        <v>19</v>
      </c>
      <c r="J26" s="21" t="s">
        <v>35</v>
      </c>
      <c r="K26" s="21"/>
      <c r="L26" s="63">
        <f>INT((Table8[[#This Row],[End_Date]]-Table8[[#This Row],[Start_Date]])/30)</f>
        <v>17</v>
      </c>
      <c r="M26" s="63" t="str">
        <f>IF(Table8[[#This Row],[Referred_By]]&lt;&gt;"","Yes","No")</f>
        <v>No</v>
      </c>
      <c r="N26" s="63">
        <f>Table8[[#This Row],[Monthly_Fee]]*Table8[[#This Row],[Membership_Duration_M]]</f>
        <v>30600</v>
      </c>
      <c r="O26" s="21" t="str">
        <f>IF(AND(Table8[[#This Row],[Attendance]]&lt;8,Table8[[#This Row],[Membership_Duration_M]]&gt;=6),"Low Engagement","")</f>
        <v/>
      </c>
    </row>
    <row r="27" spans="1:15" x14ac:dyDescent="0.3">
      <c r="A27" s="71" t="s">
        <v>75</v>
      </c>
      <c r="B27" s="72" t="s">
        <v>76</v>
      </c>
      <c r="C27" s="73">
        <v>26</v>
      </c>
      <c r="D27" s="72" t="s">
        <v>27</v>
      </c>
      <c r="E27" s="72" t="s">
        <v>41</v>
      </c>
      <c r="F27" s="74">
        <v>45320</v>
      </c>
      <c r="G27" s="75">
        <v>45616</v>
      </c>
      <c r="H27" s="76">
        <v>1800</v>
      </c>
      <c r="I27" s="76">
        <v>5</v>
      </c>
      <c r="J27" s="72" t="s">
        <v>14</v>
      </c>
      <c r="K27" s="72"/>
      <c r="L27" s="73">
        <f>INT((Table8[[#This Row],[End_Date]]-Table8[[#This Row],[Start_Date]])/30)</f>
        <v>9</v>
      </c>
      <c r="M27" s="73" t="str">
        <f>IF(Table8[[#This Row],[Referred_By]]&lt;&gt;"","Yes","No")</f>
        <v>No</v>
      </c>
      <c r="N27" s="73">
        <f>Table8[[#This Row],[Monthly_Fee]]*Table8[[#This Row],[Membership_Duration_M]]</f>
        <v>16200</v>
      </c>
      <c r="O27" s="23" t="str">
        <f>IF(AND(Table8[[#This Row],[Attendance]]&lt;8,Table8[[#This Row],[Membership_Duration_M]]&gt;=6),"Low Engagement","")</f>
        <v>Low Engagement</v>
      </c>
    </row>
    <row r="28" spans="1:15" x14ac:dyDescent="0.3">
      <c r="A28" s="20" t="s">
        <v>77</v>
      </c>
      <c r="B28" s="21" t="s">
        <v>78</v>
      </c>
      <c r="C28" s="63">
        <v>48</v>
      </c>
      <c r="D28" s="21" t="s">
        <v>12</v>
      </c>
      <c r="E28" s="21" t="s">
        <v>41</v>
      </c>
      <c r="F28" s="64">
        <v>45451</v>
      </c>
      <c r="G28" s="65">
        <v>45455</v>
      </c>
      <c r="H28" s="66">
        <v>1800</v>
      </c>
      <c r="I28" s="66">
        <v>18</v>
      </c>
      <c r="J28" s="21" t="s">
        <v>67</v>
      </c>
      <c r="K28" s="21"/>
      <c r="L28" s="63">
        <f>INT((Table8[[#This Row],[End_Date]]-Table8[[#This Row],[Start_Date]])/30)</f>
        <v>0</v>
      </c>
      <c r="M28" s="63" t="str">
        <f>IF(Table8[[#This Row],[Referred_By]]&lt;&gt;"","Yes","No")</f>
        <v>No</v>
      </c>
      <c r="N28" s="63">
        <f>Table8[[#This Row],[Monthly_Fee]]*Table8[[#This Row],[Membership_Duration_M]]</f>
        <v>0</v>
      </c>
      <c r="O28" s="21" t="str">
        <f>IF(AND(Table8[[#This Row],[Attendance]]&lt;8,Table8[[#This Row],[Membership_Duration_M]]&gt;=6),"Low Engagement","")</f>
        <v/>
      </c>
    </row>
    <row r="29" spans="1:15" x14ac:dyDescent="0.3">
      <c r="A29" s="71" t="s">
        <v>79</v>
      </c>
      <c r="B29" s="72" t="s">
        <v>80</v>
      </c>
      <c r="C29" s="73">
        <v>25</v>
      </c>
      <c r="D29" s="72" t="s">
        <v>27</v>
      </c>
      <c r="E29" s="72" t="s">
        <v>22</v>
      </c>
      <c r="F29" s="74">
        <v>45439</v>
      </c>
      <c r="G29" s="75">
        <v>45730</v>
      </c>
      <c r="H29" s="76">
        <v>1200</v>
      </c>
      <c r="I29" s="76">
        <v>6</v>
      </c>
      <c r="J29" s="72" t="s">
        <v>14</v>
      </c>
      <c r="K29" s="72"/>
      <c r="L29" s="73">
        <f>INT((Table8[[#This Row],[End_Date]]-Table8[[#This Row],[Start_Date]])/30)</f>
        <v>9</v>
      </c>
      <c r="M29" s="73" t="str">
        <f>IF(Table8[[#This Row],[Referred_By]]&lt;&gt;"","Yes","No")</f>
        <v>No</v>
      </c>
      <c r="N29" s="73">
        <f>Table8[[#This Row],[Monthly_Fee]]*Table8[[#This Row],[Membership_Duration_M]]</f>
        <v>10800</v>
      </c>
      <c r="O29" s="23" t="str">
        <f>IF(AND(Table8[[#This Row],[Attendance]]&lt;8,Table8[[#This Row],[Membership_Duration_M]]&gt;=6),"Low Engagement","")</f>
        <v>Low Engagement</v>
      </c>
    </row>
    <row r="30" spans="1:15" x14ac:dyDescent="0.3">
      <c r="A30" s="20" t="s">
        <v>81</v>
      </c>
      <c r="B30" s="21" t="s">
        <v>82</v>
      </c>
      <c r="C30" s="63">
        <v>53</v>
      </c>
      <c r="D30" s="21" t="s">
        <v>12</v>
      </c>
      <c r="E30" s="21" t="s">
        <v>41</v>
      </c>
      <c r="F30" s="64">
        <v>45286</v>
      </c>
      <c r="G30" s="65">
        <v>45372</v>
      </c>
      <c r="H30" s="66">
        <v>1800</v>
      </c>
      <c r="I30" s="66">
        <v>17</v>
      </c>
      <c r="J30" s="21" t="s">
        <v>35</v>
      </c>
      <c r="K30" s="21" t="s">
        <v>83</v>
      </c>
      <c r="L30" s="63">
        <f>INT((Table8[[#This Row],[End_Date]]-Table8[[#This Row],[Start_Date]])/30)</f>
        <v>2</v>
      </c>
      <c r="M30" s="63" t="str">
        <f>IF(Table8[[#This Row],[Referred_By]]&lt;&gt;"","Yes","No")</f>
        <v>Yes</v>
      </c>
      <c r="N30" s="63">
        <f>Table8[[#This Row],[Monthly_Fee]]*Table8[[#This Row],[Membership_Duration_M]]</f>
        <v>3600</v>
      </c>
      <c r="O30" s="21" t="str">
        <f>IF(AND(Table8[[#This Row],[Attendance]]&lt;8,Table8[[#This Row],[Membership_Duration_M]]&gt;=6),"Low Engagement","")</f>
        <v/>
      </c>
    </row>
    <row r="31" spans="1:15" x14ac:dyDescent="0.3">
      <c r="A31" s="22" t="s">
        <v>84</v>
      </c>
      <c r="B31" s="23" t="s">
        <v>85</v>
      </c>
      <c r="C31" s="67">
        <v>42</v>
      </c>
      <c r="D31" s="23" t="s">
        <v>27</v>
      </c>
      <c r="E31" s="23" t="s">
        <v>22</v>
      </c>
      <c r="F31" s="68">
        <v>45702</v>
      </c>
      <c r="G31" s="69">
        <v>45727</v>
      </c>
      <c r="H31" s="70">
        <v>1200</v>
      </c>
      <c r="I31" s="70">
        <v>3</v>
      </c>
      <c r="J31" s="23" t="s">
        <v>67</v>
      </c>
      <c r="K31" s="23"/>
      <c r="L31" s="67">
        <f>INT((Table8[[#This Row],[End_Date]]-Table8[[#This Row],[Start_Date]])/30)</f>
        <v>0</v>
      </c>
      <c r="M31" s="67" t="str">
        <f>IF(Table8[[#This Row],[Referred_By]]&lt;&gt;"","Yes","No")</f>
        <v>No</v>
      </c>
      <c r="N31" s="67">
        <f>Table8[[#This Row],[Monthly_Fee]]*Table8[[#This Row],[Membership_Duration_M]]</f>
        <v>0</v>
      </c>
      <c r="O31" s="23" t="str">
        <f>IF(AND(Table8[[#This Row],[Attendance]]&lt;8,Table8[[#This Row],[Membership_Duration_M]]&gt;=6),"Low Engagement","")</f>
        <v/>
      </c>
    </row>
    <row r="32" spans="1:15" x14ac:dyDescent="0.3">
      <c r="A32" s="20" t="s">
        <v>86</v>
      </c>
      <c r="B32" s="21" t="s">
        <v>87</v>
      </c>
      <c r="C32" s="63">
        <v>24</v>
      </c>
      <c r="D32" s="21" t="s">
        <v>12</v>
      </c>
      <c r="E32" s="21" t="s">
        <v>31</v>
      </c>
      <c r="F32" s="64">
        <v>45698</v>
      </c>
      <c r="G32" s="65">
        <v>45726</v>
      </c>
      <c r="H32" s="66">
        <v>2500</v>
      </c>
      <c r="I32" s="66">
        <v>28</v>
      </c>
      <c r="J32" s="21" t="s">
        <v>35</v>
      </c>
      <c r="K32" s="21"/>
      <c r="L32" s="63">
        <f>INT((Table8[[#This Row],[End_Date]]-Table8[[#This Row],[Start_Date]])/30)</f>
        <v>0</v>
      </c>
      <c r="M32" s="63" t="str">
        <f>IF(Table8[[#This Row],[Referred_By]]&lt;&gt;"","Yes","No")</f>
        <v>No</v>
      </c>
      <c r="N32" s="63">
        <f>Table8[[#This Row],[Monthly_Fee]]*Table8[[#This Row],[Membership_Duration_M]]</f>
        <v>0</v>
      </c>
      <c r="O32" s="21" t="str">
        <f>IF(AND(Table8[[#This Row],[Attendance]]&lt;8,Table8[[#This Row],[Membership_Duration_M]]&gt;=6),"Low Engagement","")</f>
        <v/>
      </c>
    </row>
    <row r="33" spans="1:15" x14ac:dyDescent="0.3">
      <c r="A33" s="22" t="s">
        <v>88</v>
      </c>
      <c r="B33" s="23" t="s">
        <v>89</v>
      </c>
      <c r="C33" s="67">
        <v>53</v>
      </c>
      <c r="D33" s="23" t="s">
        <v>12</v>
      </c>
      <c r="E33" s="23" t="s">
        <v>22</v>
      </c>
      <c r="F33" s="68">
        <v>45614</v>
      </c>
      <c r="G33" s="69">
        <v>45645</v>
      </c>
      <c r="H33" s="70">
        <v>1200</v>
      </c>
      <c r="I33" s="70">
        <v>23</v>
      </c>
      <c r="J33" s="23" t="s">
        <v>18</v>
      </c>
      <c r="K33" s="23"/>
      <c r="L33" s="67">
        <f>INT((Table8[[#This Row],[End_Date]]-Table8[[#This Row],[Start_Date]])/30)</f>
        <v>1</v>
      </c>
      <c r="M33" s="67" t="str">
        <f>IF(Table8[[#This Row],[Referred_By]]&lt;&gt;"","Yes","No")</f>
        <v>No</v>
      </c>
      <c r="N33" s="67">
        <f>Table8[[#This Row],[Monthly_Fee]]*Table8[[#This Row],[Membership_Duration_M]]</f>
        <v>1200</v>
      </c>
      <c r="O33" s="23" t="str">
        <f>IF(AND(Table8[[#This Row],[Attendance]]&lt;8,Table8[[#This Row],[Membership_Duration_M]]&gt;=6),"Low Engagement","")</f>
        <v/>
      </c>
    </row>
    <row r="34" spans="1:15" x14ac:dyDescent="0.3">
      <c r="A34" s="20" t="s">
        <v>90</v>
      </c>
      <c r="B34" s="21" t="s">
        <v>91</v>
      </c>
      <c r="C34" s="63">
        <v>29</v>
      </c>
      <c r="D34" s="21" t="s">
        <v>27</v>
      </c>
      <c r="E34" s="21" t="s">
        <v>31</v>
      </c>
      <c r="F34" s="64">
        <v>45401</v>
      </c>
      <c r="G34" s="65">
        <v>45408</v>
      </c>
      <c r="H34" s="66">
        <v>2500</v>
      </c>
      <c r="I34" s="66">
        <v>8</v>
      </c>
      <c r="J34" s="21" t="s">
        <v>23</v>
      </c>
      <c r="K34" s="21"/>
      <c r="L34" s="63">
        <f>INT((Table8[[#This Row],[End_Date]]-Table8[[#This Row],[Start_Date]])/30)</f>
        <v>0</v>
      </c>
      <c r="M34" s="63" t="str">
        <f>IF(Table8[[#This Row],[Referred_By]]&lt;&gt;"","Yes","No")</f>
        <v>No</v>
      </c>
      <c r="N34" s="63">
        <f>Table8[[#This Row],[Monthly_Fee]]*Table8[[#This Row],[Membership_Duration_M]]</f>
        <v>0</v>
      </c>
      <c r="O34" s="21" t="str">
        <f>IF(AND(Table8[[#This Row],[Attendance]]&lt;8,Table8[[#This Row],[Membership_Duration_M]]&gt;=6),"Low Engagement","")</f>
        <v/>
      </c>
    </row>
    <row r="35" spans="1:15" x14ac:dyDescent="0.3">
      <c r="A35" s="22" t="s">
        <v>92</v>
      </c>
      <c r="B35" s="23" t="s">
        <v>93</v>
      </c>
      <c r="C35" s="67">
        <v>31</v>
      </c>
      <c r="D35" s="23" t="s">
        <v>27</v>
      </c>
      <c r="E35" s="23" t="s">
        <v>31</v>
      </c>
      <c r="F35" s="68">
        <v>45667</v>
      </c>
      <c r="G35" s="69">
        <v>45745</v>
      </c>
      <c r="H35" s="70">
        <v>2500</v>
      </c>
      <c r="I35" s="70">
        <v>23</v>
      </c>
      <c r="J35" s="23" t="s">
        <v>42</v>
      </c>
      <c r="K35" s="23" t="s">
        <v>94</v>
      </c>
      <c r="L35" s="67">
        <f>INT((Table8[[#This Row],[End_Date]]-Table8[[#This Row],[Start_Date]])/30)</f>
        <v>2</v>
      </c>
      <c r="M35" s="67" t="str">
        <f>IF(Table8[[#This Row],[Referred_By]]&lt;&gt;"","Yes","No")</f>
        <v>Yes</v>
      </c>
      <c r="N35" s="67">
        <f>Table8[[#This Row],[Monthly_Fee]]*Table8[[#This Row],[Membership_Duration_M]]</f>
        <v>5000</v>
      </c>
      <c r="O35" s="23" t="str">
        <f>IF(AND(Table8[[#This Row],[Attendance]]&lt;8,Table8[[#This Row],[Membership_Duration_M]]&gt;=6),"Low Engagement","")</f>
        <v/>
      </c>
    </row>
    <row r="36" spans="1:15" x14ac:dyDescent="0.3">
      <c r="A36" s="20" t="s">
        <v>95</v>
      </c>
      <c r="B36" s="21" t="s">
        <v>96</v>
      </c>
      <c r="C36" s="63">
        <v>52</v>
      </c>
      <c r="D36" s="21" t="s">
        <v>27</v>
      </c>
      <c r="E36" s="21" t="s">
        <v>13</v>
      </c>
      <c r="F36" s="64">
        <v>45088</v>
      </c>
      <c r="G36" s="65">
        <v>45656</v>
      </c>
      <c r="H36" s="66">
        <v>800</v>
      </c>
      <c r="I36" s="66">
        <v>9</v>
      </c>
      <c r="J36" s="21" t="s">
        <v>67</v>
      </c>
      <c r="K36" s="21" t="s">
        <v>97</v>
      </c>
      <c r="L36" s="63">
        <f>INT((Table8[[#This Row],[End_Date]]-Table8[[#This Row],[Start_Date]])/30)</f>
        <v>18</v>
      </c>
      <c r="M36" s="63" t="str">
        <f>IF(Table8[[#This Row],[Referred_By]]&lt;&gt;"","Yes","No")</f>
        <v>Yes</v>
      </c>
      <c r="N36" s="63">
        <f>Table8[[#This Row],[Monthly_Fee]]*Table8[[#This Row],[Membership_Duration_M]]</f>
        <v>14400</v>
      </c>
      <c r="O36" s="21" t="str">
        <f>IF(AND(Table8[[#This Row],[Attendance]]&lt;8,Table8[[#This Row],[Membership_Duration_M]]&gt;=6),"Low Engagement","")</f>
        <v/>
      </c>
    </row>
    <row r="37" spans="1:15" x14ac:dyDescent="0.3">
      <c r="A37" s="71" t="s">
        <v>98</v>
      </c>
      <c r="B37" s="72" t="s">
        <v>99</v>
      </c>
      <c r="C37" s="73">
        <v>20</v>
      </c>
      <c r="D37" s="72" t="s">
        <v>12</v>
      </c>
      <c r="E37" s="72" t="s">
        <v>22</v>
      </c>
      <c r="F37" s="74">
        <v>45391</v>
      </c>
      <c r="G37" s="75">
        <v>45604</v>
      </c>
      <c r="H37" s="76">
        <v>1200</v>
      </c>
      <c r="I37" s="76">
        <v>2</v>
      </c>
      <c r="J37" s="72" t="s">
        <v>35</v>
      </c>
      <c r="K37" s="72"/>
      <c r="L37" s="73">
        <f>INT((Table8[[#This Row],[End_Date]]-Table8[[#This Row],[Start_Date]])/30)</f>
        <v>7</v>
      </c>
      <c r="M37" s="73" t="str">
        <f>IF(Table8[[#This Row],[Referred_By]]&lt;&gt;"","Yes","No")</f>
        <v>No</v>
      </c>
      <c r="N37" s="73">
        <f>Table8[[#This Row],[Monthly_Fee]]*Table8[[#This Row],[Membership_Duration_M]]</f>
        <v>8400</v>
      </c>
      <c r="O37" s="23" t="str">
        <f>IF(AND(Table8[[#This Row],[Attendance]]&lt;8,Table8[[#This Row],[Membership_Duration_M]]&gt;=6),"Low Engagement","")</f>
        <v>Low Engagement</v>
      </c>
    </row>
    <row r="38" spans="1:15" x14ac:dyDescent="0.3">
      <c r="A38" s="20" t="s">
        <v>100</v>
      </c>
      <c r="B38" s="21" t="s">
        <v>101</v>
      </c>
      <c r="C38" s="63">
        <v>22</v>
      </c>
      <c r="D38" s="21" t="s">
        <v>12</v>
      </c>
      <c r="E38" s="21" t="s">
        <v>13</v>
      </c>
      <c r="F38" s="64">
        <v>45699</v>
      </c>
      <c r="G38" s="65">
        <v>45740</v>
      </c>
      <c r="H38" s="66">
        <v>800</v>
      </c>
      <c r="I38" s="66">
        <v>30</v>
      </c>
      <c r="J38" s="21" t="s">
        <v>35</v>
      </c>
      <c r="K38" s="21"/>
      <c r="L38" s="63">
        <f>INT((Table8[[#This Row],[End_Date]]-Table8[[#This Row],[Start_Date]])/30)</f>
        <v>1</v>
      </c>
      <c r="M38" s="63" t="str">
        <f>IF(Table8[[#This Row],[Referred_By]]&lt;&gt;"","Yes","No")</f>
        <v>No</v>
      </c>
      <c r="N38" s="63">
        <f>Table8[[#This Row],[Monthly_Fee]]*Table8[[#This Row],[Membership_Duration_M]]</f>
        <v>800</v>
      </c>
      <c r="O38" s="21" t="str">
        <f>IF(AND(Table8[[#This Row],[Attendance]]&lt;8,Table8[[#This Row],[Membership_Duration_M]]&gt;=6),"Low Engagement","")</f>
        <v/>
      </c>
    </row>
    <row r="39" spans="1:15" x14ac:dyDescent="0.3">
      <c r="A39" s="22" t="s">
        <v>102</v>
      </c>
      <c r="B39" s="23" t="s">
        <v>103</v>
      </c>
      <c r="C39" s="67">
        <v>23</v>
      </c>
      <c r="D39" s="23" t="s">
        <v>12</v>
      </c>
      <c r="E39" s="23" t="s">
        <v>41</v>
      </c>
      <c r="F39" s="68">
        <v>45588</v>
      </c>
      <c r="G39" s="69">
        <v>45721</v>
      </c>
      <c r="H39" s="70">
        <v>1800</v>
      </c>
      <c r="I39" s="70">
        <v>23</v>
      </c>
      <c r="J39" s="23" t="s">
        <v>18</v>
      </c>
      <c r="K39" s="23" t="s">
        <v>104</v>
      </c>
      <c r="L39" s="67">
        <f>INT((Table8[[#This Row],[End_Date]]-Table8[[#This Row],[Start_Date]])/30)</f>
        <v>4</v>
      </c>
      <c r="M39" s="67" t="str">
        <f>IF(Table8[[#This Row],[Referred_By]]&lt;&gt;"","Yes","No")</f>
        <v>Yes</v>
      </c>
      <c r="N39" s="67">
        <f>Table8[[#This Row],[Monthly_Fee]]*Table8[[#This Row],[Membership_Duration_M]]</f>
        <v>7200</v>
      </c>
      <c r="O39" s="23" t="str">
        <f>IF(AND(Table8[[#This Row],[Attendance]]&lt;8,Table8[[#This Row],[Membership_Duration_M]]&gt;=6),"Low Engagement","")</f>
        <v/>
      </c>
    </row>
    <row r="40" spans="1:15" x14ac:dyDescent="0.3">
      <c r="A40" s="82" t="s">
        <v>105</v>
      </c>
      <c r="B40" s="83" t="s">
        <v>106</v>
      </c>
      <c r="C40" s="84">
        <v>27</v>
      </c>
      <c r="D40" s="83" t="s">
        <v>27</v>
      </c>
      <c r="E40" s="83" t="s">
        <v>22</v>
      </c>
      <c r="F40" s="85">
        <v>45312</v>
      </c>
      <c r="G40" s="86">
        <v>45652</v>
      </c>
      <c r="H40" s="87">
        <v>1200</v>
      </c>
      <c r="I40" s="87">
        <v>27</v>
      </c>
      <c r="J40" s="83" t="s">
        <v>18</v>
      </c>
      <c r="K40" s="83"/>
      <c r="L40" s="84">
        <f>INT((Table8[[#This Row],[End_Date]]-Table8[[#This Row],[Start_Date]])/30)</f>
        <v>11</v>
      </c>
      <c r="M40" s="84" t="str">
        <f>IF(Table8[[#This Row],[Referred_By]]&lt;&gt;"","Yes","No")</f>
        <v>No</v>
      </c>
      <c r="N40" s="84">
        <f>Table8[[#This Row],[Monthly_Fee]]*Table8[[#This Row],[Membership_Duration_M]]</f>
        <v>13200</v>
      </c>
      <c r="O40" s="83" t="str">
        <f>IF(AND(Table8[[#This Row],[Attendance]]&lt;8,Table8[[#This Row],[Membership_Duration_M]]&gt;=6),"Low Engagement","")</f>
        <v/>
      </c>
    </row>
    <row r="44" spans="1:15" x14ac:dyDescent="0.3">
      <c r="D44" s="88" t="s">
        <v>134</v>
      </c>
      <c r="E44" s="45"/>
      <c r="F44" s="45"/>
      <c r="G44" s="45"/>
      <c r="H44" s="45"/>
      <c r="I44" s="45"/>
    </row>
    <row r="45" spans="1:15" x14ac:dyDescent="0.3">
      <c r="D45" s="45"/>
      <c r="E45" s="45"/>
      <c r="F45" s="45"/>
      <c r="G45" s="45"/>
      <c r="H45" s="45"/>
      <c r="I45" s="45"/>
    </row>
    <row r="46" spans="1:15" x14ac:dyDescent="0.3">
      <c r="D46" s="45"/>
      <c r="E46" s="45"/>
      <c r="F46" s="45"/>
      <c r="G46" s="45"/>
      <c r="H46" s="45"/>
      <c r="I46" s="45"/>
    </row>
    <row r="47" spans="1:15" x14ac:dyDescent="0.3">
      <c r="D47" s="45"/>
      <c r="E47" s="45"/>
      <c r="F47" s="45"/>
      <c r="G47" s="45"/>
      <c r="H47" s="45"/>
      <c r="I47" s="45"/>
    </row>
    <row r="48" spans="1:15" x14ac:dyDescent="0.3">
      <c r="D48" s="45"/>
      <c r="E48" s="45"/>
      <c r="F48" s="45"/>
      <c r="G48" s="45"/>
      <c r="H48" s="45"/>
      <c r="I48" s="45"/>
    </row>
    <row r="49" spans="4:9" x14ac:dyDescent="0.3">
      <c r="D49" s="45"/>
      <c r="E49" s="45"/>
      <c r="F49" s="45"/>
      <c r="G49" s="45"/>
      <c r="H49" s="45"/>
      <c r="I49" s="45"/>
    </row>
  </sheetData>
  <mergeCells count="1">
    <mergeCell ref="D44:I49"/>
  </mergeCells>
  <conditionalFormatting sqref="A6:O40">
    <cfRule type="expression" priority="1">
      <formula>AND($I1048524&lt;8, $L1048524&gt;=6)</formula>
    </cfRule>
  </conditionalFormatting>
  <conditionalFormatting sqref="O27">
    <cfRule type="notContainsText" priority="4" operator="notContains" text="&quot;&quot;">
      <formula>ISERROR(SEARCH("""""",O27))</formula>
    </cfRule>
  </conditionalFormatting>
  <conditionalFormatting sqref="O37">
    <cfRule type="colorScale" priority="2">
      <colorScale>
        <cfvo type="formula" val="&quot;&quot;&quot;&quot;&quot;&quot;"/>
        <cfvo type="formula" val="&quot;&quot;&quot;&quot;&quot;&quot;"/>
        <color rgb="FFFF7128"/>
        <color rgb="FFFFEF9C"/>
      </colorScale>
    </cfRule>
    <cfRule type="notContainsText" priority="3" operator="notContains" text="&quot;&quot;">
      <formula>ISERROR(SEARCH("""""",O37))</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268B3-10F4-42EE-8484-BC504468D389}">
  <dimension ref="A2:T71"/>
  <sheetViews>
    <sheetView zoomScale="85" zoomScaleNormal="85" workbookViewId="0">
      <selection activeCell="B46" sqref="B46:J71"/>
    </sheetView>
  </sheetViews>
  <sheetFormatPr defaultRowHeight="14.4" x14ac:dyDescent="0.3"/>
  <cols>
    <col min="2" max="2" width="13.44140625" bestFit="1" customWidth="1"/>
    <col min="3" max="3" width="21.33203125" bestFit="1" customWidth="1"/>
    <col min="19" max="19" width="19" customWidth="1"/>
    <col min="20" max="20" width="26.5546875" customWidth="1"/>
  </cols>
  <sheetData>
    <row r="2" spans="1:20" ht="25.8" x14ac:dyDescent="0.5">
      <c r="A2" s="90"/>
      <c r="B2" s="90"/>
      <c r="C2" s="90"/>
      <c r="D2" s="91" t="s">
        <v>135</v>
      </c>
      <c r="E2" s="91"/>
      <c r="F2" s="91"/>
      <c r="G2" s="91"/>
      <c r="H2" s="91"/>
      <c r="I2" s="91"/>
      <c r="J2" s="91"/>
      <c r="K2" s="91"/>
      <c r="L2" s="91"/>
      <c r="M2" s="91"/>
      <c r="N2" s="91"/>
      <c r="O2" s="91"/>
    </row>
    <row r="5" spans="1:20" x14ac:dyDescent="0.3">
      <c r="B5" s="4" t="s">
        <v>109</v>
      </c>
      <c r="C5" t="s">
        <v>116</v>
      </c>
      <c r="S5" s="4" t="s">
        <v>109</v>
      </c>
      <c r="T5" t="s">
        <v>119</v>
      </c>
    </row>
    <row r="6" spans="1:20" x14ac:dyDescent="0.3">
      <c r="B6" s="5" t="s">
        <v>23</v>
      </c>
      <c r="C6" s="89">
        <v>10800</v>
      </c>
      <c r="S6" s="5" t="s">
        <v>13</v>
      </c>
      <c r="T6">
        <v>4000</v>
      </c>
    </row>
    <row r="7" spans="1:20" x14ac:dyDescent="0.3">
      <c r="B7" s="9" t="s">
        <v>22</v>
      </c>
      <c r="C7" s="89">
        <v>10800</v>
      </c>
      <c r="S7" s="9" t="s">
        <v>110</v>
      </c>
      <c r="T7">
        <v>3800</v>
      </c>
    </row>
    <row r="8" spans="1:20" x14ac:dyDescent="0.3">
      <c r="B8" s="10" t="s">
        <v>111</v>
      </c>
      <c r="C8" s="89">
        <v>10800</v>
      </c>
      <c r="S8" s="9" t="s">
        <v>111</v>
      </c>
      <c r="T8">
        <v>4160</v>
      </c>
    </row>
    <row r="9" spans="1:20" x14ac:dyDescent="0.3">
      <c r="B9" s="5" t="s">
        <v>112</v>
      </c>
      <c r="C9" s="89">
        <v>10800</v>
      </c>
      <c r="S9" s="5" t="s">
        <v>31</v>
      </c>
      <c r="T9">
        <v>10714.285714285714</v>
      </c>
    </row>
    <row r="10" spans="1:20" x14ac:dyDescent="0.3">
      <c r="S10" s="9" t="s">
        <v>110</v>
      </c>
      <c r="T10">
        <v>9375</v>
      </c>
    </row>
    <row r="11" spans="1:20" x14ac:dyDescent="0.3">
      <c r="S11" s="9" t="s">
        <v>111</v>
      </c>
      <c r="T11">
        <v>12500</v>
      </c>
    </row>
    <row r="12" spans="1:20" x14ac:dyDescent="0.3">
      <c r="S12" s="5" t="s">
        <v>41</v>
      </c>
      <c r="T12">
        <v>9514.2857142857138</v>
      </c>
    </row>
    <row r="13" spans="1:20" x14ac:dyDescent="0.3">
      <c r="S13" s="9" t="s">
        <v>110</v>
      </c>
      <c r="T13">
        <v>11160</v>
      </c>
    </row>
    <row r="14" spans="1:20" x14ac:dyDescent="0.3">
      <c r="S14" s="9" t="s">
        <v>111</v>
      </c>
      <c r="T14">
        <v>5400</v>
      </c>
    </row>
    <row r="15" spans="1:20" x14ac:dyDescent="0.3">
      <c r="S15" s="5" t="s">
        <v>22</v>
      </c>
      <c r="T15">
        <v>7300</v>
      </c>
    </row>
    <row r="16" spans="1:20" x14ac:dyDescent="0.3">
      <c r="S16" s="9" t="s">
        <v>110</v>
      </c>
      <c r="T16">
        <v>7542.8571428571431</v>
      </c>
    </row>
    <row r="17" spans="19:20" x14ac:dyDescent="0.3">
      <c r="S17" s="9" t="s">
        <v>111</v>
      </c>
      <c r="T17">
        <v>6960</v>
      </c>
    </row>
    <row r="18" spans="19:20" x14ac:dyDescent="0.3">
      <c r="S18" s="5" t="s">
        <v>112</v>
      </c>
      <c r="T18">
        <v>7577.1428571428569</v>
      </c>
    </row>
    <row r="42" spans="2:10" ht="21" customHeight="1" x14ac:dyDescent="0.3"/>
    <row r="46" spans="2:10" x14ac:dyDescent="0.3">
      <c r="B46" s="92" t="s">
        <v>136</v>
      </c>
      <c r="C46" s="92"/>
      <c r="D46" s="92"/>
      <c r="E46" s="92"/>
      <c r="F46" s="92"/>
      <c r="G46" s="92"/>
      <c r="H46" s="92"/>
      <c r="I46" s="92"/>
      <c r="J46" s="92"/>
    </row>
    <row r="47" spans="2:10" x14ac:dyDescent="0.3">
      <c r="B47" s="92"/>
      <c r="C47" s="92"/>
      <c r="D47" s="92"/>
      <c r="E47" s="92"/>
      <c r="F47" s="92"/>
      <c r="G47" s="92"/>
      <c r="H47" s="92"/>
      <c r="I47" s="92"/>
      <c r="J47" s="92"/>
    </row>
    <row r="48" spans="2:10" x14ac:dyDescent="0.3">
      <c r="B48" s="92"/>
      <c r="C48" s="92"/>
      <c r="D48" s="92"/>
      <c r="E48" s="92"/>
      <c r="F48" s="92"/>
      <c r="G48" s="92"/>
      <c r="H48" s="92"/>
      <c r="I48" s="92"/>
      <c r="J48" s="92"/>
    </row>
    <row r="49" spans="2:10" x14ac:dyDescent="0.3">
      <c r="B49" s="92"/>
      <c r="C49" s="92"/>
      <c r="D49" s="92"/>
      <c r="E49" s="92"/>
      <c r="F49" s="92"/>
      <c r="G49" s="92"/>
      <c r="H49" s="92"/>
      <c r="I49" s="92"/>
      <c r="J49" s="92"/>
    </row>
    <row r="50" spans="2:10" x14ac:dyDescent="0.3">
      <c r="B50" s="92"/>
      <c r="C50" s="92"/>
      <c r="D50" s="92"/>
      <c r="E50" s="92"/>
      <c r="F50" s="92"/>
      <c r="G50" s="92"/>
      <c r="H50" s="92"/>
      <c r="I50" s="92"/>
      <c r="J50" s="92"/>
    </row>
    <row r="51" spans="2:10" x14ac:dyDescent="0.3">
      <c r="B51" s="92"/>
      <c r="C51" s="92"/>
      <c r="D51" s="92"/>
      <c r="E51" s="92"/>
      <c r="F51" s="92"/>
      <c r="G51" s="92"/>
      <c r="H51" s="92"/>
      <c r="I51" s="92"/>
      <c r="J51" s="92"/>
    </row>
    <row r="52" spans="2:10" x14ac:dyDescent="0.3">
      <c r="B52" s="92"/>
      <c r="C52" s="92"/>
      <c r="D52" s="92"/>
      <c r="E52" s="92"/>
      <c r="F52" s="92"/>
      <c r="G52" s="92"/>
      <c r="H52" s="92"/>
      <c r="I52" s="92"/>
      <c r="J52" s="92"/>
    </row>
    <row r="53" spans="2:10" x14ac:dyDescent="0.3">
      <c r="B53" s="92"/>
      <c r="C53" s="92"/>
      <c r="D53" s="92"/>
      <c r="E53" s="92"/>
      <c r="F53" s="92"/>
      <c r="G53" s="92"/>
      <c r="H53" s="92"/>
      <c r="I53" s="92"/>
      <c r="J53" s="92"/>
    </row>
    <row r="54" spans="2:10" x14ac:dyDescent="0.3">
      <c r="B54" s="92"/>
      <c r="C54" s="92"/>
      <c r="D54" s="92"/>
      <c r="E54" s="92"/>
      <c r="F54" s="92"/>
      <c r="G54" s="92"/>
      <c r="H54" s="92"/>
      <c r="I54" s="92"/>
      <c r="J54" s="92"/>
    </row>
    <row r="55" spans="2:10" x14ac:dyDescent="0.3">
      <c r="B55" s="92"/>
      <c r="C55" s="92"/>
      <c r="D55" s="92"/>
      <c r="E55" s="92"/>
      <c r="F55" s="92"/>
      <c r="G55" s="92"/>
      <c r="H55" s="92"/>
      <c r="I55" s="92"/>
      <c r="J55" s="92"/>
    </row>
    <row r="56" spans="2:10" x14ac:dyDescent="0.3">
      <c r="B56" s="92"/>
      <c r="C56" s="92"/>
      <c r="D56" s="92"/>
      <c r="E56" s="92"/>
      <c r="F56" s="92"/>
      <c r="G56" s="92"/>
      <c r="H56" s="92"/>
      <c r="I56" s="92"/>
      <c r="J56" s="92"/>
    </row>
    <row r="57" spans="2:10" x14ac:dyDescent="0.3">
      <c r="B57" s="92"/>
      <c r="C57" s="92"/>
      <c r="D57" s="92"/>
      <c r="E57" s="92"/>
      <c r="F57" s="92"/>
      <c r="G57" s="92"/>
      <c r="H57" s="92"/>
      <c r="I57" s="92"/>
      <c r="J57" s="92"/>
    </row>
    <row r="58" spans="2:10" x14ac:dyDescent="0.3">
      <c r="B58" s="92"/>
      <c r="C58" s="92"/>
      <c r="D58" s="92"/>
      <c r="E58" s="92"/>
      <c r="F58" s="92"/>
      <c r="G58" s="92"/>
      <c r="H58" s="92"/>
      <c r="I58" s="92"/>
      <c r="J58" s="92"/>
    </row>
    <row r="59" spans="2:10" x14ac:dyDescent="0.3">
      <c r="B59" s="92"/>
      <c r="C59" s="92"/>
      <c r="D59" s="92"/>
      <c r="E59" s="92"/>
      <c r="F59" s="92"/>
      <c r="G59" s="92"/>
      <c r="H59" s="92"/>
      <c r="I59" s="92"/>
      <c r="J59" s="92"/>
    </row>
    <row r="60" spans="2:10" x14ac:dyDescent="0.3">
      <c r="B60" s="92"/>
      <c r="C60" s="92"/>
      <c r="D60" s="92"/>
      <c r="E60" s="92"/>
      <c r="F60" s="92"/>
      <c r="G60" s="92"/>
      <c r="H60" s="92"/>
      <c r="I60" s="92"/>
      <c r="J60" s="92"/>
    </row>
    <row r="61" spans="2:10" x14ac:dyDescent="0.3">
      <c r="B61" s="92"/>
      <c r="C61" s="92"/>
      <c r="D61" s="92"/>
      <c r="E61" s="92"/>
      <c r="F61" s="92"/>
      <c r="G61" s="92"/>
      <c r="H61" s="92"/>
      <c r="I61" s="92"/>
      <c r="J61" s="92"/>
    </row>
    <row r="62" spans="2:10" x14ac:dyDescent="0.3">
      <c r="B62" s="92"/>
      <c r="C62" s="92"/>
      <c r="D62" s="92"/>
      <c r="E62" s="92"/>
      <c r="F62" s="92"/>
      <c r="G62" s="92"/>
      <c r="H62" s="92"/>
      <c r="I62" s="92"/>
      <c r="J62" s="92"/>
    </row>
    <row r="63" spans="2:10" x14ac:dyDescent="0.3">
      <c r="B63" s="92"/>
      <c r="C63" s="92"/>
      <c r="D63" s="92"/>
      <c r="E63" s="92"/>
      <c r="F63" s="92"/>
      <c r="G63" s="92"/>
      <c r="H63" s="92"/>
      <c r="I63" s="92"/>
      <c r="J63" s="92"/>
    </row>
    <row r="64" spans="2:10" x14ac:dyDescent="0.3">
      <c r="B64" s="92"/>
      <c r="C64" s="92"/>
      <c r="D64" s="92"/>
      <c r="E64" s="92"/>
      <c r="F64" s="92"/>
      <c r="G64" s="92"/>
      <c r="H64" s="92"/>
      <c r="I64" s="92"/>
      <c r="J64" s="92"/>
    </row>
    <row r="65" spans="2:10" x14ac:dyDescent="0.3">
      <c r="B65" s="92"/>
      <c r="C65" s="92"/>
      <c r="D65" s="92"/>
      <c r="E65" s="92"/>
      <c r="F65" s="92"/>
      <c r="G65" s="92"/>
      <c r="H65" s="92"/>
      <c r="I65" s="92"/>
      <c r="J65" s="92"/>
    </row>
    <row r="66" spans="2:10" x14ac:dyDescent="0.3">
      <c r="B66" s="92"/>
      <c r="C66" s="92"/>
      <c r="D66" s="92"/>
      <c r="E66" s="92"/>
      <c r="F66" s="92"/>
      <c r="G66" s="92"/>
      <c r="H66" s="92"/>
      <c r="I66" s="92"/>
      <c r="J66" s="92"/>
    </row>
    <row r="67" spans="2:10" x14ac:dyDescent="0.3">
      <c r="B67" s="92"/>
      <c r="C67" s="92"/>
      <c r="D67" s="92"/>
      <c r="E67" s="92"/>
      <c r="F67" s="92"/>
      <c r="G67" s="92"/>
      <c r="H67" s="92"/>
      <c r="I67" s="92"/>
      <c r="J67" s="92"/>
    </row>
    <row r="68" spans="2:10" x14ac:dyDescent="0.3">
      <c r="B68" s="92"/>
      <c r="C68" s="92"/>
      <c r="D68" s="92"/>
      <c r="E68" s="92"/>
      <c r="F68" s="92"/>
      <c r="G68" s="92"/>
      <c r="H68" s="92"/>
      <c r="I68" s="92"/>
      <c r="J68" s="92"/>
    </row>
    <row r="69" spans="2:10" x14ac:dyDescent="0.3">
      <c r="B69" s="92"/>
      <c r="C69" s="92"/>
      <c r="D69" s="92"/>
      <c r="E69" s="92"/>
      <c r="F69" s="92"/>
      <c r="G69" s="92"/>
      <c r="H69" s="92"/>
      <c r="I69" s="92"/>
      <c r="J69" s="92"/>
    </row>
    <row r="70" spans="2:10" x14ac:dyDescent="0.3">
      <c r="B70" s="92"/>
      <c r="C70" s="92"/>
      <c r="D70" s="92"/>
      <c r="E70" s="92"/>
      <c r="F70" s="92"/>
      <c r="G70" s="92"/>
      <c r="H70" s="92"/>
      <c r="I70" s="92"/>
      <c r="J70" s="92"/>
    </row>
    <row r="71" spans="2:10" x14ac:dyDescent="0.3">
      <c r="B71" s="92"/>
      <c r="C71" s="92"/>
      <c r="D71" s="92"/>
      <c r="E71" s="92"/>
      <c r="F71" s="92"/>
      <c r="G71" s="92"/>
      <c r="H71" s="92"/>
      <c r="I71" s="92"/>
      <c r="J71" s="92"/>
    </row>
  </sheetData>
  <mergeCells count="1">
    <mergeCell ref="B46:J71"/>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6F49E-7466-47A3-88C9-2A7F7522C3DB}">
  <dimension ref="A2:P58"/>
  <sheetViews>
    <sheetView workbookViewId="0">
      <selection activeCell="D2" sqref="D2"/>
    </sheetView>
  </sheetViews>
  <sheetFormatPr defaultRowHeight="14.4" x14ac:dyDescent="0.3"/>
  <cols>
    <col min="2" max="2" width="18.109375" customWidth="1"/>
    <col min="4" max="4" width="15.33203125" customWidth="1"/>
    <col min="6" max="6" width="12.109375" bestFit="1" customWidth="1"/>
    <col min="7" max="7" width="17.88671875" bestFit="1" customWidth="1"/>
    <col min="10" max="10" width="12.88671875" customWidth="1"/>
    <col min="11" max="11" width="17" customWidth="1"/>
    <col min="12" max="12" width="13.21875" customWidth="1"/>
    <col min="13" max="13" width="10.77734375" customWidth="1"/>
    <col min="14" max="14" width="11.5546875" customWidth="1"/>
    <col min="15" max="15" width="15" customWidth="1"/>
    <col min="16" max="16" width="11.109375" customWidth="1"/>
  </cols>
  <sheetData>
    <row r="2" spans="1:16" ht="25.8" x14ac:dyDescent="0.5">
      <c r="A2" s="93"/>
      <c r="B2" s="93"/>
      <c r="C2" s="93"/>
      <c r="D2" s="94" t="s">
        <v>137</v>
      </c>
      <c r="E2" s="94"/>
      <c r="F2" s="94"/>
      <c r="G2" s="94"/>
      <c r="H2" s="94"/>
      <c r="I2" s="94"/>
      <c r="J2" s="94"/>
      <c r="K2" s="94"/>
      <c r="L2" s="94"/>
    </row>
    <row r="4" spans="1:16" x14ac:dyDescent="0.3">
      <c r="A4" s="11" t="s">
        <v>107</v>
      </c>
      <c r="B4" s="11" t="s">
        <v>0</v>
      </c>
      <c r="C4" s="28" t="s">
        <v>1</v>
      </c>
      <c r="D4" s="11" t="s">
        <v>2</v>
      </c>
      <c r="E4" s="11" t="s">
        <v>3</v>
      </c>
      <c r="F4" s="11" t="s">
        <v>4</v>
      </c>
      <c r="G4" s="28" t="s">
        <v>5</v>
      </c>
      <c r="H4" s="11" t="s">
        <v>6</v>
      </c>
      <c r="I4" s="11" t="s">
        <v>7</v>
      </c>
      <c r="J4" s="11" t="s">
        <v>8</v>
      </c>
      <c r="K4" s="8" t="s">
        <v>9</v>
      </c>
      <c r="L4" s="8" t="s">
        <v>115</v>
      </c>
      <c r="M4" s="8" t="s">
        <v>108</v>
      </c>
      <c r="N4" s="11" t="s">
        <v>114</v>
      </c>
      <c r="O4" s="12" t="s">
        <v>118</v>
      </c>
      <c r="P4" s="19" t="s">
        <v>120</v>
      </c>
    </row>
    <row r="5" spans="1:16" x14ac:dyDescent="0.3">
      <c r="A5" t="s">
        <v>10</v>
      </c>
      <c r="B5" t="s">
        <v>11</v>
      </c>
      <c r="C5" s="29">
        <v>59</v>
      </c>
      <c r="D5" s="1" t="s">
        <v>12</v>
      </c>
      <c r="E5" s="1" t="s">
        <v>13</v>
      </c>
      <c r="F5" s="2">
        <v>45235</v>
      </c>
      <c r="G5" s="31">
        <v>45425</v>
      </c>
      <c r="H5" s="1">
        <v>800</v>
      </c>
      <c r="I5" s="1">
        <v>25</v>
      </c>
      <c r="J5" s="1" t="s">
        <v>14</v>
      </c>
      <c r="K5" s="1" t="s">
        <v>15</v>
      </c>
      <c r="L5" s="3">
        <f>INT((Table134[[#This Row],[End_Date]]-Table134[[#This Row],[Start_Date]])/30)</f>
        <v>6</v>
      </c>
      <c r="M5" s="3" t="str">
        <f>IF(Table134[[#This Row],[Referred_By]]&lt;&gt;"","Yes","No")</f>
        <v>Yes</v>
      </c>
      <c r="N5" s="3">
        <f>Table134[[#This Row],[Monthly_Fee]]*Table134[[#This Row],[Membership_Duration_M]]</f>
        <v>4800</v>
      </c>
      <c r="O5" t="str">
        <f>IF(AND(Table134[[#This Row],[Attendance]]&lt;8,Table134[[#This Row],[Membership_Duration_M]]&gt;=6),"Low Engagement","")</f>
        <v/>
      </c>
      <c r="P5" s="18" t="str">
        <f>IF(Table134[[#This Row],[Age]]&lt;30,"Youth",IF(Table134[[#This Row],[Age]]&lt;45,"Adult",IF(Table134[[#This Row],[Age]]&gt;46,"Senior")))</f>
        <v>Senior</v>
      </c>
    </row>
    <row r="6" spans="1:16" x14ac:dyDescent="0.3">
      <c r="A6" t="s">
        <v>16</v>
      </c>
      <c r="B6" t="s">
        <v>17</v>
      </c>
      <c r="C6" s="29">
        <v>27</v>
      </c>
      <c r="D6" s="1" t="s">
        <v>12</v>
      </c>
      <c r="E6" s="1" t="s">
        <v>13</v>
      </c>
      <c r="F6" s="2">
        <v>45714</v>
      </c>
      <c r="G6" s="31">
        <v>45740</v>
      </c>
      <c r="H6" s="1">
        <v>800</v>
      </c>
      <c r="I6" s="1">
        <v>20</v>
      </c>
      <c r="J6" s="1" t="s">
        <v>18</v>
      </c>
      <c r="K6" s="1" t="s">
        <v>19</v>
      </c>
      <c r="L6" s="3">
        <f>INT((Table134[[#This Row],[End_Date]]-Table134[[#This Row],[Start_Date]])/30)</f>
        <v>0</v>
      </c>
      <c r="M6" s="3" t="str">
        <f>IF(Table134[[#This Row],[Referred_By]]&lt;&gt;"","Yes","No")</f>
        <v>Yes</v>
      </c>
      <c r="N6" s="3">
        <f>Table134[[#This Row],[Monthly_Fee]]*Table134[[#This Row],[Membership_Duration_M]]</f>
        <v>0</v>
      </c>
      <c r="O6" t="str">
        <f>IF(AND(Table134[[#This Row],[Attendance]]&lt;8,Table134[[#This Row],[Membership_Duration_M]]&gt;=6),"Low Engagement","")</f>
        <v/>
      </c>
      <c r="P6" s="18" t="str">
        <f>IF(Table134[[#This Row],[Age]]&lt;30,"Youth",IF(Table134[[#This Row],[Age]]&lt;45,"Adult",IF(Table134[[#This Row],[Age]]&gt;46,"Senior")))</f>
        <v>Youth</v>
      </c>
    </row>
    <row r="7" spans="1:16" x14ac:dyDescent="0.3">
      <c r="A7" t="s">
        <v>20</v>
      </c>
      <c r="B7" t="s">
        <v>21</v>
      </c>
      <c r="C7" s="29">
        <v>24</v>
      </c>
      <c r="D7" s="1" t="s">
        <v>12</v>
      </c>
      <c r="E7" s="1" t="s">
        <v>22</v>
      </c>
      <c r="F7" s="2">
        <v>45191</v>
      </c>
      <c r="G7" s="31">
        <v>45371</v>
      </c>
      <c r="H7" s="1">
        <v>1200</v>
      </c>
      <c r="I7" s="1">
        <v>18</v>
      </c>
      <c r="J7" s="1" t="s">
        <v>23</v>
      </c>
      <c r="K7" s="1" t="s">
        <v>24</v>
      </c>
      <c r="L7" s="3">
        <f>INT((Table134[[#This Row],[End_Date]]-Table134[[#This Row],[Start_Date]])/30)</f>
        <v>6</v>
      </c>
      <c r="M7" s="3" t="str">
        <f>IF(Table134[[#This Row],[Referred_By]]&lt;&gt;"","Yes","No")</f>
        <v>Yes</v>
      </c>
      <c r="N7" s="3">
        <f>Table134[[#This Row],[Monthly_Fee]]*Table134[[#This Row],[Membership_Duration_M]]</f>
        <v>7200</v>
      </c>
      <c r="O7" t="str">
        <f>IF(AND(Table134[[#This Row],[Attendance]]&lt;8,Table134[[#This Row],[Membership_Duration_M]]&gt;=6),"Low Engagement","")</f>
        <v/>
      </c>
      <c r="P7" s="18" t="str">
        <f>IF(Table134[[#This Row],[Age]]&lt;30,"Youth",IF(Table134[[#This Row],[Age]]&lt;45,"Adult",IF(Table134[[#This Row],[Age]]&gt;46,"Senior")))</f>
        <v>Youth</v>
      </c>
    </row>
    <row r="8" spans="1:16" x14ac:dyDescent="0.3">
      <c r="A8" t="s">
        <v>25</v>
      </c>
      <c r="B8" t="s">
        <v>26</v>
      </c>
      <c r="C8" s="29">
        <v>31</v>
      </c>
      <c r="D8" s="1" t="s">
        <v>27</v>
      </c>
      <c r="E8" s="1" t="s">
        <v>22</v>
      </c>
      <c r="F8" s="2">
        <v>45479</v>
      </c>
      <c r="G8" s="31">
        <v>45587</v>
      </c>
      <c r="H8" s="1">
        <v>1200</v>
      </c>
      <c r="I8" s="1">
        <v>16</v>
      </c>
      <c r="J8" s="1" t="s">
        <v>23</v>
      </c>
      <c r="K8" s="1" t="s">
        <v>28</v>
      </c>
      <c r="L8" s="3">
        <f>INT((Table134[[#This Row],[End_Date]]-Table134[[#This Row],[Start_Date]])/30)</f>
        <v>3</v>
      </c>
      <c r="M8" s="3" t="str">
        <f>IF(Table134[[#This Row],[Referred_By]]&lt;&gt;"","Yes","No")</f>
        <v>Yes</v>
      </c>
      <c r="N8" s="3">
        <f>Table134[[#This Row],[Monthly_Fee]]*Table134[[#This Row],[Membership_Duration_M]]</f>
        <v>3600</v>
      </c>
      <c r="O8" t="str">
        <f>IF(AND(Table134[[#This Row],[Attendance]]&lt;8,Table134[[#This Row],[Membership_Duration_M]]&gt;=6),"Low Engagement","")</f>
        <v/>
      </c>
      <c r="P8" s="18" t="str">
        <f>IF(Table134[[#This Row],[Age]]&lt;30,"Youth",IF(Table134[[#This Row],[Age]]&lt;45,"Adult",IF(Table134[[#This Row],[Age]]&gt;46,"Senior")))</f>
        <v>Adult</v>
      </c>
    </row>
    <row r="9" spans="1:16" x14ac:dyDescent="0.3">
      <c r="A9" t="s">
        <v>29</v>
      </c>
      <c r="B9" t="s">
        <v>30</v>
      </c>
      <c r="C9" s="29">
        <v>19</v>
      </c>
      <c r="D9" s="1" t="s">
        <v>12</v>
      </c>
      <c r="E9" s="1" t="s">
        <v>31</v>
      </c>
      <c r="F9" s="2">
        <v>45286</v>
      </c>
      <c r="G9" s="31">
        <v>45501</v>
      </c>
      <c r="H9" s="1">
        <v>2500</v>
      </c>
      <c r="I9" s="1">
        <v>12</v>
      </c>
      <c r="J9" s="1" t="s">
        <v>14</v>
      </c>
      <c r="K9" s="1" t="s">
        <v>32</v>
      </c>
      <c r="L9" s="3">
        <f>INT((Table134[[#This Row],[End_Date]]-Table134[[#This Row],[Start_Date]])/30)</f>
        <v>7</v>
      </c>
      <c r="M9" s="3" t="str">
        <f>IF(Table134[[#This Row],[Referred_By]]&lt;&gt;"","Yes","No")</f>
        <v>Yes</v>
      </c>
      <c r="N9" s="3">
        <f>Table134[[#This Row],[Monthly_Fee]]*Table134[[#This Row],[Membership_Duration_M]]</f>
        <v>17500</v>
      </c>
      <c r="O9" t="str">
        <f>IF(AND(Table134[[#This Row],[Attendance]]&lt;8,Table134[[#This Row],[Membership_Duration_M]]&gt;=6),"Low Engagement","")</f>
        <v/>
      </c>
      <c r="P9" s="18" t="str">
        <f>IF(Table134[[#This Row],[Age]]&lt;30,"Youth",IF(Table134[[#This Row],[Age]]&lt;45,"Adult",IF(Table134[[#This Row],[Age]]&gt;46,"Senior")))</f>
        <v>Youth</v>
      </c>
    </row>
    <row r="10" spans="1:16" x14ac:dyDescent="0.3">
      <c r="A10" t="s">
        <v>33</v>
      </c>
      <c r="B10" t="s">
        <v>34</v>
      </c>
      <c r="C10" s="29">
        <v>40</v>
      </c>
      <c r="D10" s="1" t="s">
        <v>12</v>
      </c>
      <c r="E10" s="1" t="s">
        <v>13</v>
      </c>
      <c r="F10" s="2">
        <v>45317</v>
      </c>
      <c r="G10" s="31">
        <v>45392</v>
      </c>
      <c r="H10" s="1">
        <v>800</v>
      </c>
      <c r="I10" s="1">
        <v>14</v>
      </c>
      <c r="J10" s="1" t="s">
        <v>35</v>
      </c>
      <c r="K10" s="1" t="s">
        <v>36</v>
      </c>
      <c r="L10" s="3">
        <f>INT((Table134[[#This Row],[End_Date]]-Table134[[#This Row],[Start_Date]])/30)</f>
        <v>2</v>
      </c>
      <c r="M10" s="3" t="str">
        <f>IF(Table134[[#This Row],[Referred_By]]&lt;&gt;"","Yes","No")</f>
        <v>Yes</v>
      </c>
      <c r="N10" s="3">
        <f>Table134[[#This Row],[Monthly_Fee]]*Table134[[#This Row],[Membership_Duration_M]]</f>
        <v>1600</v>
      </c>
      <c r="O10" t="str">
        <f>IF(AND(Table134[[#This Row],[Attendance]]&lt;8,Table134[[#This Row],[Membership_Duration_M]]&gt;=6),"Low Engagement","")</f>
        <v/>
      </c>
      <c r="P10" s="18" t="str">
        <f>IF(Table134[[#This Row],[Age]]&lt;30,"Youth",IF(Table134[[#This Row],[Age]]&lt;45,"Adult",IF(Table134[[#This Row],[Age]]&gt;46,"Senior")))</f>
        <v>Adult</v>
      </c>
    </row>
    <row r="11" spans="1:16" x14ac:dyDescent="0.3">
      <c r="A11" t="s">
        <v>37</v>
      </c>
      <c r="B11" t="s">
        <v>38</v>
      </c>
      <c r="C11" s="29">
        <v>41</v>
      </c>
      <c r="D11" s="1" t="s">
        <v>27</v>
      </c>
      <c r="E11" s="1" t="s">
        <v>13</v>
      </c>
      <c r="F11" s="2">
        <v>45588</v>
      </c>
      <c r="G11" s="31">
        <v>45677</v>
      </c>
      <c r="H11" s="1">
        <v>800</v>
      </c>
      <c r="I11" s="1">
        <v>25</v>
      </c>
      <c r="J11" s="1" t="s">
        <v>18</v>
      </c>
      <c r="L11" s="3">
        <f>INT((Table134[[#This Row],[End_Date]]-Table134[[#This Row],[Start_Date]])/30)</f>
        <v>2</v>
      </c>
      <c r="M11" s="3" t="str">
        <f>IF(Table134[[#This Row],[Referred_By]]&lt;&gt;"","Yes","No")</f>
        <v>No</v>
      </c>
      <c r="N11" s="3">
        <f>Table134[[#This Row],[Monthly_Fee]]*Table134[[#This Row],[Membership_Duration_M]]</f>
        <v>1600</v>
      </c>
      <c r="O11" t="str">
        <f>IF(AND(Table134[[#This Row],[Attendance]]&lt;8,Table134[[#This Row],[Membership_Duration_M]]&gt;=6),"Low Engagement","")</f>
        <v/>
      </c>
      <c r="P11" s="18" t="str">
        <f>IF(Table134[[#This Row],[Age]]&lt;30,"Youth",IF(Table134[[#This Row],[Age]]&lt;45,"Adult",IF(Table134[[#This Row],[Age]]&gt;46,"Senior")))</f>
        <v>Adult</v>
      </c>
    </row>
    <row r="12" spans="1:16" x14ac:dyDescent="0.3">
      <c r="A12" t="s">
        <v>39</v>
      </c>
      <c r="B12" t="s">
        <v>40</v>
      </c>
      <c r="C12" s="29">
        <v>43</v>
      </c>
      <c r="D12" s="1" t="s">
        <v>12</v>
      </c>
      <c r="E12" s="1" t="s">
        <v>41</v>
      </c>
      <c r="F12" s="2">
        <v>45450</v>
      </c>
      <c r="G12" s="31">
        <v>45563</v>
      </c>
      <c r="H12" s="1">
        <v>1800</v>
      </c>
      <c r="I12" s="1">
        <v>28</v>
      </c>
      <c r="J12" s="1" t="s">
        <v>42</v>
      </c>
      <c r="L12" s="3">
        <f>INT((Table134[[#This Row],[End_Date]]-Table134[[#This Row],[Start_Date]])/30)</f>
        <v>3</v>
      </c>
      <c r="M12" s="3" t="str">
        <f>IF(Table134[[#This Row],[Referred_By]]&lt;&gt;"","Yes","No")</f>
        <v>No</v>
      </c>
      <c r="N12" s="3">
        <f>Table134[[#This Row],[Monthly_Fee]]*Table134[[#This Row],[Membership_Duration_M]]</f>
        <v>5400</v>
      </c>
      <c r="O12" t="str">
        <f>IF(AND(Table134[[#This Row],[Attendance]]&lt;8,Table134[[#This Row],[Membership_Duration_M]]&gt;=6),"Low Engagement","")</f>
        <v/>
      </c>
      <c r="P12" s="18" t="str">
        <f>IF(Table134[[#This Row],[Age]]&lt;30,"Youth",IF(Table134[[#This Row],[Age]]&lt;45,"Adult",IF(Table134[[#This Row],[Age]]&gt;46,"Senior")))</f>
        <v>Adult</v>
      </c>
    </row>
    <row r="13" spans="1:16" x14ac:dyDescent="0.3">
      <c r="A13" s="1" t="s">
        <v>43</v>
      </c>
      <c r="B13" s="1" t="s">
        <v>44</v>
      </c>
      <c r="C13" s="29">
        <v>42</v>
      </c>
      <c r="D13" s="1" t="s">
        <v>12</v>
      </c>
      <c r="E13" s="1" t="s">
        <v>13</v>
      </c>
      <c r="F13" s="2">
        <v>45569</v>
      </c>
      <c r="G13" s="31">
        <v>45582</v>
      </c>
      <c r="H13" s="1">
        <v>800</v>
      </c>
      <c r="I13" s="1">
        <v>3</v>
      </c>
      <c r="J13" s="1" t="s">
        <v>42</v>
      </c>
      <c r="K13" s="1" t="s">
        <v>45</v>
      </c>
      <c r="L13" s="3">
        <f>INT((Table134[[#This Row],[End_Date]]-Table134[[#This Row],[Start_Date]])/30)</f>
        <v>0</v>
      </c>
      <c r="M13" s="3" t="str">
        <f>IF(Table134[[#This Row],[Referred_By]]&lt;&gt;"","Yes","No")</f>
        <v>Yes</v>
      </c>
      <c r="N13" s="3">
        <f>Table134[[#This Row],[Monthly_Fee]]*Table134[[#This Row],[Membership_Duration_M]]</f>
        <v>0</v>
      </c>
      <c r="O13" t="str">
        <f>IF(AND(Table134[[#This Row],[Attendance]]&lt;8,Table134[[#This Row],[Membership_Duration_M]]&gt;=6),"Low Engagement","")</f>
        <v/>
      </c>
      <c r="P13" s="18" t="str">
        <f>IF(Table134[[#This Row],[Age]]&lt;30,"Youth",IF(Table134[[#This Row],[Age]]&lt;45,"Adult",IF(Table134[[#This Row],[Age]]&gt;46,"Senior")))</f>
        <v>Adult</v>
      </c>
    </row>
    <row r="14" spans="1:16" x14ac:dyDescent="0.3">
      <c r="A14" s="1" t="s">
        <v>46</v>
      </c>
      <c r="B14" s="1" t="s">
        <v>47</v>
      </c>
      <c r="C14" s="29">
        <v>37</v>
      </c>
      <c r="D14" s="1" t="s">
        <v>12</v>
      </c>
      <c r="E14" s="1" t="s">
        <v>22</v>
      </c>
      <c r="F14" s="2">
        <v>45202</v>
      </c>
      <c r="G14" s="31">
        <v>45280</v>
      </c>
      <c r="H14" s="1">
        <v>1200</v>
      </c>
      <c r="I14" s="1">
        <v>29</v>
      </c>
      <c r="J14" s="1" t="s">
        <v>35</v>
      </c>
      <c r="K14" s="1" t="s">
        <v>48</v>
      </c>
      <c r="L14" s="3">
        <f>INT((Table134[[#This Row],[End_Date]]-Table134[[#This Row],[Start_Date]])/30)</f>
        <v>2</v>
      </c>
      <c r="M14" s="3" t="str">
        <f>IF(Table134[[#This Row],[Referred_By]]&lt;&gt;"","Yes","No")</f>
        <v>Yes</v>
      </c>
      <c r="N14" s="3">
        <f>Table134[[#This Row],[Monthly_Fee]]*Table134[[#This Row],[Membership_Duration_M]]</f>
        <v>2400</v>
      </c>
      <c r="O14" t="str">
        <f>IF(AND(Table134[[#This Row],[Attendance]]&lt;8,Table134[[#This Row],[Membership_Duration_M]]&gt;=6),"Low Engagement","")</f>
        <v/>
      </c>
      <c r="P14" s="18" t="str">
        <f>IF(Table134[[#This Row],[Age]]&lt;30,"Youth",IF(Table134[[#This Row],[Age]]&lt;45,"Adult",IF(Table134[[#This Row],[Age]]&gt;46,"Senior")))</f>
        <v>Adult</v>
      </c>
    </row>
    <row r="15" spans="1:16" x14ac:dyDescent="0.3">
      <c r="A15" s="1" t="s">
        <v>49</v>
      </c>
      <c r="B15" s="1" t="s">
        <v>50</v>
      </c>
      <c r="C15" s="29">
        <v>48</v>
      </c>
      <c r="D15" s="1" t="s">
        <v>27</v>
      </c>
      <c r="E15" s="1" t="s">
        <v>22</v>
      </c>
      <c r="F15" s="2">
        <v>45297</v>
      </c>
      <c r="G15" s="31">
        <v>45459</v>
      </c>
      <c r="H15" s="1">
        <v>1200</v>
      </c>
      <c r="I15" s="1">
        <v>13</v>
      </c>
      <c r="J15" s="1" t="s">
        <v>14</v>
      </c>
      <c r="K15" s="1" t="s">
        <v>51</v>
      </c>
      <c r="L15" s="3">
        <f>INT((Table134[[#This Row],[End_Date]]-Table134[[#This Row],[Start_Date]])/30)</f>
        <v>5</v>
      </c>
      <c r="M15" s="3" t="str">
        <f>IF(Table134[[#This Row],[Referred_By]]&lt;&gt;"","Yes","No")</f>
        <v>Yes</v>
      </c>
      <c r="N15" s="3">
        <f>Table134[[#This Row],[Monthly_Fee]]*Table134[[#This Row],[Membership_Duration_M]]</f>
        <v>6000</v>
      </c>
      <c r="O15" t="str">
        <f>IF(AND(Table134[[#This Row],[Attendance]]&lt;8,Table134[[#This Row],[Membership_Duration_M]]&gt;=6),"Low Engagement","")</f>
        <v/>
      </c>
      <c r="P15" s="18" t="str">
        <f>IF(Table134[[#This Row],[Age]]&lt;30,"Youth",IF(Table134[[#This Row],[Age]]&lt;45,"Adult",IF(Table134[[#This Row],[Age]]&gt;46,"Senior")))</f>
        <v>Senior</v>
      </c>
    </row>
    <row r="16" spans="1:16" x14ac:dyDescent="0.3">
      <c r="A16" s="1" t="s">
        <v>52</v>
      </c>
      <c r="B16" s="1" t="s">
        <v>53</v>
      </c>
      <c r="C16" s="29">
        <v>36</v>
      </c>
      <c r="D16" s="1" t="s">
        <v>12</v>
      </c>
      <c r="E16" s="1" t="s">
        <v>22</v>
      </c>
      <c r="F16" s="2">
        <v>45154</v>
      </c>
      <c r="G16" s="31">
        <v>45568</v>
      </c>
      <c r="H16" s="1">
        <v>1200</v>
      </c>
      <c r="I16" s="1">
        <v>19</v>
      </c>
      <c r="J16" s="1" t="s">
        <v>42</v>
      </c>
      <c r="K16" s="1" t="s">
        <v>54</v>
      </c>
      <c r="L16" s="3">
        <f>INT((Table134[[#This Row],[End_Date]]-Table134[[#This Row],[Start_Date]])/30)</f>
        <v>13</v>
      </c>
      <c r="M16" s="3" t="str">
        <f>IF(Table134[[#This Row],[Referred_By]]&lt;&gt;"","Yes","No")</f>
        <v>Yes</v>
      </c>
      <c r="N16" s="3">
        <f>Table134[[#This Row],[Monthly_Fee]]*Table134[[#This Row],[Membership_Duration_M]]</f>
        <v>15600</v>
      </c>
      <c r="O16" t="str">
        <f>IF(AND(Table134[[#This Row],[Attendance]]&lt;8,Table134[[#This Row],[Membership_Duration_M]]&gt;=6),"Low Engagement","")</f>
        <v/>
      </c>
      <c r="P16" s="18" t="str">
        <f>IF(Table134[[#This Row],[Age]]&lt;30,"Youth",IF(Table134[[#This Row],[Age]]&lt;45,"Adult",IF(Table134[[#This Row],[Age]]&gt;46,"Senior")))</f>
        <v>Adult</v>
      </c>
    </row>
    <row r="17" spans="1:16" x14ac:dyDescent="0.3">
      <c r="A17" s="1" t="s">
        <v>55</v>
      </c>
      <c r="B17" s="1" t="s">
        <v>56</v>
      </c>
      <c r="C17" s="29">
        <v>48</v>
      </c>
      <c r="D17" s="1" t="s">
        <v>27</v>
      </c>
      <c r="E17" s="1" t="s">
        <v>41</v>
      </c>
      <c r="F17" s="2">
        <v>45556</v>
      </c>
      <c r="G17" s="31">
        <v>45641</v>
      </c>
      <c r="H17" s="1">
        <v>1800</v>
      </c>
      <c r="I17" s="1">
        <v>22</v>
      </c>
      <c r="J17" s="1" t="s">
        <v>42</v>
      </c>
      <c r="L17" s="3">
        <f>INT((Table134[[#This Row],[End_Date]]-Table134[[#This Row],[Start_Date]])/30)</f>
        <v>2</v>
      </c>
      <c r="M17" s="3" t="str">
        <f>IF(Table134[[#This Row],[Referred_By]]&lt;&gt;"","Yes","No")</f>
        <v>No</v>
      </c>
      <c r="N17" s="3">
        <f>Table134[[#This Row],[Monthly_Fee]]*Table134[[#This Row],[Membership_Duration_M]]</f>
        <v>3600</v>
      </c>
      <c r="O17" t="str">
        <f>IF(AND(Table134[[#This Row],[Attendance]]&lt;8,Table134[[#This Row],[Membership_Duration_M]]&gt;=6),"Low Engagement","")</f>
        <v/>
      </c>
      <c r="P17" s="18" t="str">
        <f>IF(Table134[[#This Row],[Age]]&lt;30,"Youth",IF(Table134[[#This Row],[Age]]&lt;45,"Adult",IF(Table134[[#This Row],[Age]]&gt;46,"Senior")))</f>
        <v>Senior</v>
      </c>
    </row>
    <row r="18" spans="1:16" x14ac:dyDescent="0.3">
      <c r="A18" s="1" t="s">
        <v>57</v>
      </c>
      <c r="B18" s="1" t="s">
        <v>58</v>
      </c>
      <c r="C18" s="29">
        <v>39</v>
      </c>
      <c r="D18" s="1" t="s">
        <v>12</v>
      </c>
      <c r="E18" s="1" t="s">
        <v>22</v>
      </c>
      <c r="F18" s="2">
        <v>45065</v>
      </c>
      <c r="G18" s="31">
        <v>45242</v>
      </c>
      <c r="H18" s="1">
        <v>1200</v>
      </c>
      <c r="I18" s="1">
        <v>28</v>
      </c>
      <c r="J18" s="1" t="s">
        <v>35</v>
      </c>
      <c r="L18" s="3">
        <f>INT((Table134[[#This Row],[End_Date]]-Table134[[#This Row],[Start_Date]])/30)</f>
        <v>5</v>
      </c>
      <c r="M18" s="3" t="str">
        <f>IF(Table134[[#This Row],[Referred_By]]&lt;&gt;"","Yes","No")</f>
        <v>No</v>
      </c>
      <c r="N18" s="3">
        <f>Table134[[#This Row],[Monthly_Fee]]*Table134[[#This Row],[Membership_Duration_M]]</f>
        <v>6000</v>
      </c>
      <c r="O18" t="str">
        <f>IF(AND(Table134[[#This Row],[Attendance]]&lt;8,Table134[[#This Row],[Membership_Duration_M]]&gt;=6),"Low Engagement","")</f>
        <v/>
      </c>
      <c r="P18" s="18" t="str">
        <f>IF(Table134[[#This Row],[Age]]&lt;30,"Youth",IF(Table134[[#This Row],[Age]]&lt;45,"Adult",IF(Table134[[#This Row],[Age]]&gt;46,"Senior")))</f>
        <v>Adult</v>
      </c>
    </row>
    <row r="19" spans="1:16" x14ac:dyDescent="0.3">
      <c r="A19" s="1" t="s">
        <v>59</v>
      </c>
      <c r="B19" s="1" t="s">
        <v>60</v>
      </c>
      <c r="C19" s="29">
        <v>44</v>
      </c>
      <c r="D19" s="1" t="s">
        <v>27</v>
      </c>
      <c r="E19" s="1" t="s">
        <v>13</v>
      </c>
      <c r="F19" s="2">
        <v>45333</v>
      </c>
      <c r="G19" s="31">
        <v>45540</v>
      </c>
      <c r="H19" s="1">
        <v>800</v>
      </c>
      <c r="I19" s="1">
        <v>8</v>
      </c>
      <c r="J19" s="1" t="s">
        <v>23</v>
      </c>
      <c r="L19" s="3">
        <f>INT((Table134[[#This Row],[End_Date]]-Table134[[#This Row],[Start_Date]])/30)</f>
        <v>6</v>
      </c>
      <c r="M19" s="3" t="str">
        <f>IF(Table134[[#This Row],[Referred_By]]&lt;&gt;"","Yes","No")</f>
        <v>No</v>
      </c>
      <c r="N19" s="3">
        <f>Table134[[#This Row],[Monthly_Fee]]*Table134[[#This Row],[Membership_Duration_M]]</f>
        <v>4800</v>
      </c>
      <c r="O19" t="str">
        <f>IF(AND(Table134[[#This Row],[Attendance]]&lt;8,Table134[[#This Row],[Membership_Duration_M]]&gt;=6),"Low Engagement","")</f>
        <v/>
      </c>
      <c r="P19" s="18" t="str">
        <f>IF(Table134[[#This Row],[Age]]&lt;30,"Youth",IF(Table134[[#This Row],[Age]]&lt;45,"Adult",IF(Table134[[#This Row],[Age]]&gt;46,"Senior")))</f>
        <v>Adult</v>
      </c>
    </row>
    <row r="20" spans="1:16" x14ac:dyDescent="0.3">
      <c r="A20" s="1" t="s">
        <v>61</v>
      </c>
      <c r="B20" s="1" t="s">
        <v>62</v>
      </c>
      <c r="C20" s="29">
        <v>39</v>
      </c>
      <c r="D20" s="1" t="s">
        <v>12</v>
      </c>
      <c r="E20" s="1" t="s">
        <v>31</v>
      </c>
      <c r="F20" s="2">
        <v>45702</v>
      </c>
      <c r="G20" s="31">
        <v>45732</v>
      </c>
      <c r="H20" s="1">
        <v>2500</v>
      </c>
      <c r="I20" s="1">
        <v>14</v>
      </c>
      <c r="J20" s="1" t="s">
        <v>42</v>
      </c>
      <c r="L20" s="3">
        <f>INT((Table134[[#This Row],[End_Date]]-Table134[[#This Row],[Start_Date]])/30)</f>
        <v>1</v>
      </c>
      <c r="M20" s="3" t="str">
        <f>IF(Table134[[#This Row],[Referred_By]]&lt;&gt;"","Yes","No")</f>
        <v>No</v>
      </c>
      <c r="N20" s="3">
        <f>Table134[[#This Row],[Monthly_Fee]]*Table134[[#This Row],[Membership_Duration_M]]</f>
        <v>2500</v>
      </c>
      <c r="O20" t="str">
        <f>IF(AND(Table134[[#This Row],[Attendance]]&lt;8,Table134[[#This Row],[Membership_Duration_M]]&gt;=6),"Low Engagement","")</f>
        <v/>
      </c>
      <c r="P20" s="18" t="str">
        <f>IF(Table134[[#This Row],[Age]]&lt;30,"Youth",IF(Table134[[#This Row],[Age]]&lt;45,"Adult",IF(Table134[[#This Row],[Age]]&gt;46,"Senior")))</f>
        <v>Adult</v>
      </c>
    </row>
    <row r="21" spans="1:16" x14ac:dyDescent="0.3">
      <c r="A21" s="1" t="s">
        <v>63</v>
      </c>
      <c r="B21" s="1" t="s">
        <v>64</v>
      </c>
      <c r="C21" s="29">
        <v>35</v>
      </c>
      <c r="D21" s="1" t="s">
        <v>12</v>
      </c>
      <c r="E21" s="1" t="s">
        <v>22</v>
      </c>
      <c r="F21" s="2">
        <v>45329</v>
      </c>
      <c r="G21" s="31">
        <v>45685</v>
      </c>
      <c r="H21" s="1">
        <v>1200</v>
      </c>
      <c r="I21" s="1">
        <v>25</v>
      </c>
      <c r="J21" s="1" t="s">
        <v>23</v>
      </c>
      <c r="L21" s="3">
        <f>INT((Table134[[#This Row],[End_Date]]-Table134[[#This Row],[Start_Date]])/30)</f>
        <v>11</v>
      </c>
      <c r="M21" s="3" t="str">
        <f>IF(Table134[[#This Row],[Referred_By]]&lt;&gt;"","Yes","No")</f>
        <v>No</v>
      </c>
      <c r="N21" s="3">
        <f>Table134[[#This Row],[Monthly_Fee]]*Table134[[#This Row],[Membership_Duration_M]]</f>
        <v>13200</v>
      </c>
      <c r="O21" t="str">
        <f>IF(AND(Table134[[#This Row],[Attendance]]&lt;8,Table134[[#This Row],[Membership_Duration_M]]&gt;=6),"Low Engagement","")</f>
        <v/>
      </c>
      <c r="P21" s="18" t="str">
        <f>IF(Table134[[#This Row],[Age]]&lt;30,"Youth",IF(Table134[[#This Row],[Age]]&lt;45,"Adult",IF(Table134[[#This Row],[Age]]&gt;46,"Senior")))</f>
        <v>Adult</v>
      </c>
    </row>
    <row r="22" spans="1:16" x14ac:dyDescent="0.3">
      <c r="A22" s="1" t="s">
        <v>65</v>
      </c>
      <c r="B22" s="1" t="s">
        <v>66</v>
      </c>
      <c r="C22" s="29">
        <v>56</v>
      </c>
      <c r="D22" s="1" t="s">
        <v>27</v>
      </c>
      <c r="E22" s="1" t="s">
        <v>31</v>
      </c>
      <c r="F22" s="2">
        <v>45213</v>
      </c>
      <c r="G22" s="31">
        <v>45649</v>
      </c>
      <c r="H22" s="1">
        <v>2500</v>
      </c>
      <c r="I22" s="1">
        <v>13</v>
      </c>
      <c r="J22" s="1" t="s">
        <v>67</v>
      </c>
      <c r="L22" s="3">
        <f>INT((Table134[[#This Row],[End_Date]]-Table134[[#This Row],[Start_Date]])/30)</f>
        <v>14</v>
      </c>
      <c r="M22" s="3" t="str">
        <f>IF(Table134[[#This Row],[Referred_By]]&lt;&gt;"","Yes","No")</f>
        <v>No</v>
      </c>
      <c r="N22" s="3">
        <f>Table134[[#This Row],[Monthly_Fee]]*Table134[[#This Row],[Membership_Duration_M]]</f>
        <v>35000</v>
      </c>
      <c r="O22" t="str">
        <f>IF(AND(Table134[[#This Row],[Attendance]]&lt;8,Table134[[#This Row],[Membership_Duration_M]]&gt;=6),"Low Engagement","")</f>
        <v/>
      </c>
      <c r="P22" s="18" t="str">
        <f>IF(Table134[[#This Row],[Age]]&lt;30,"Youth",IF(Table134[[#This Row],[Age]]&lt;45,"Adult",IF(Table134[[#This Row],[Age]]&gt;46,"Senior")))</f>
        <v>Senior</v>
      </c>
    </row>
    <row r="23" spans="1:16" x14ac:dyDescent="0.3">
      <c r="A23" s="1" t="s">
        <v>68</v>
      </c>
      <c r="B23" s="1" t="s">
        <v>69</v>
      </c>
      <c r="C23" s="29">
        <v>27</v>
      </c>
      <c r="D23" s="1" t="s">
        <v>27</v>
      </c>
      <c r="E23" s="1" t="s">
        <v>13</v>
      </c>
      <c r="F23" s="2">
        <v>45354</v>
      </c>
      <c r="G23" s="31">
        <v>45664</v>
      </c>
      <c r="H23" s="1">
        <v>800</v>
      </c>
      <c r="I23" s="1">
        <v>26</v>
      </c>
      <c r="J23" s="1" t="s">
        <v>35</v>
      </c>
      <c r="L23" s="3">
        <f>INT((Table134[[#This Row],[End_Date]]-Table134[[#This Row],[Start_Date]])/30)</f>
        <v>10</v>
      </c>
      <c r="M23" s="3" t="str">
        <f>IF(Table134[[#This Row],[Referred_By]]&lt;&gt;"","Yes","No")</f>
        <v>No</v>
      </c>
      <c r="N23" s="3">
        <f>Table134[[#This Row],[Monthly_Fee]]*Table134[[#This Row],[Membership_Duration_M]]</f>
        <v>8000</v>
      </c>
      <c r="O23" t="str">
        <f>IF(AND(Table134[[#This Row],[Attendance]]&lt;8,Table134[[#This Row],[Membership_Duration_M]]&gt;=6),"Low Engagement","")</f>
        <v/>
      </c>
      <c r="P23" s="18" t="str">
        <f>IF(Table134[[#This Row],[Age]]&lt;30,"Youth",IF(Table134[[#This Row],[Age]]&lt;45,"Adult",IF(Table134[[#This Row],[Age]]&gt;46,"Senior")))</f>
        <v>Youth</v>
      </c>
    </row>
    <row r="24" spans="1:16" x14ac:dyDescent="0.3">
      <c r="A24" s="1" t="s">
        <v>70</v>
      </c>
      <c r="B24" s="1" t="s">
        <v>71</v>
      </c>
      <c r="C24" s="29">
        <v>28</v>
      </c>
      <c r="D24" s="1" t="s">
        <v>12</v>
      </c>
      <c r="E24" s="1" t="s">
        <v>31</v>
      </c>
      <c r="F24" s="2">
        <v>45417</v>
      </c>
      <c r="G24" s="31">
        <v>45608</v>
      </c>
      <c r="H24" s="1">
        <v>2500</v>
      </c>
      <c r="I24" s="1">
        <v>21</v>
      </c>
      <c r="J24" s="1" t="s">
        <v>35</v>
      </c>
      <c r="K24" s="1" t="s">
        <v>72</v>
      </c>
      <c r="L24" s="3">
        <f>INT((Table134[[#This Row],[End_Date]]-Table134[[#This Row],[Start_Date]])/30)</f>
        <v>6</v>
      </c>
      <c r="M24" s="3" t="str">
        <f>IF(Table134[[#This Row],[Referred_By]]&lt;&gt;"","Yes","No")</f>
        <v>Yes</v>
      </c>
      <c r="N24" s="3">
        <f>Table134[[#This Row],[Monthly_Fee]]*Table134[[#This Row],[Membership_Duration_M]]</f>
        <v>15000</v>
      </c>
      <c r="O24" t="str">
        <f>IF(AND(Table134[[#This Row],[Attendance]]&lt;8,Table134[[#This Row],[Membership_Duration_M]]&gt;=6),"Low Engagement","")</f>
        <v/>
      </c>
      <c r="P24" s="18" t="str">
        <f>IF(Table134[[#This Row],[Age]]&lt;30,"Youth",IF(Table134[[#This Row],[Age]]&lt;45,"Adult",IF(Table134[[#This Row],[Age]]&gt;46,"Senior")))</f>
        <v>Youth</v>
      </c>
    </row>
    <row r="25" spans="1:16" x14ac:dyDescent="0.3">
      <c r="A25" s="1" t="s">
        <v>73</v>
      </c>
      <c r="B25" s="1" t="s">
        <v>74</v>
      </c>
      <c r="C25" s="29">
        <v>57</v>
      </c>
      <c r="D25" s="1" t="s">
        <v>27</v>
      </c>
      <c r="E25" s="1" t="s">
        <v>41</v>
      </c>
      <c r="F25" s="2">
        <v>45146</v>
      </c>
      <c r="G25" s="31">
        <v>45674</v>
      </c>
      <c r="H25" s="1">
        <v>1800</v>
      </c>
      <c r="I25" s="1">
        <v>19</v>
      </c>
      <c r="J25" s="1" t="s">
        <v>35</v>
      </c>
      <c r="L25" s="3">
        <f>INT((Table134[[#This Row],[End_Date]]-Table134[[#This Row],[Start_Date]])/30)</f>
        <v>17</v>
      </c>
      <c r="M25" s="3" t="str">
        <f>IF(Table134[[#This Row],[Referred_By]]&lt;&gt;"","Yes","No")</f>
        <v>No</v>
      </c>
      <c r="N25" s="3">
        <f>Table134[[#This Row],[Monthly_Fee]]*Table134[[#This Row],[Membership_Duration_M]]</f>
        <v>30600</v>
      </c>
      <c r="O25" t="str">
        <f>IF(AND(Table134[[#This Row],[Attendance]]&lt;8,Table134[[#This Row],[Membership_Duration_M]]&gt;=6),"Low Engagement","")</f>
        <v/>
      </c>
      <c r="P25" s="18" t="str">
        <f>IF(Table134[[#This Row],[Age]]&lt;30,"Youth",IF(Table134[[#This Row],[Age]]&lt;45,"Adult",IF(Table134[[#This Row],[Age]]&gt;46,"Senior")))</f>
        <v>Senior</v>
      </c>
    </row>
    <row r="26" spans="1:16" x14ac:dyDescent="0.3">
      <c r="A26" s="13" t="s">
        <v>75</v>
      </c>
      <c r="B26" s="13" t="s">
        <v>76</v>
      </c>
      <c r="C26" s="30">
        <v>26</v>
      </c>
      <c r="D26" s="13" t="s">
        <v>27</v>
      </c>
      <c r="E26" s="13" t="s">
        <v>41</v>
      </c>
      <c r="F26" s="14">
        <v>45320</v>
      </c>
      <c r="G26" s="32">
        <v>45616</v>
      </c>
      <c r="H26" s="13">
        <v>1800</v>
      </c>
      <c r="I26" s="13">
        <v>5</v>
      </c>
      <c r="J26" s="13" t="s">
        <v>14</v>
      </c>
      <c r="K26" s="16"/>
      <c r="L26" s="15">
        <f>INT((Table134[[#This Row],[End_Date]]-Table134[[#This Row],[Start_Date]])/30)</f>
        <v>9</v>
      </c>
      <c r="M26" s="15" t="str">
        <f>IF(Table134[[#This Row],[Referred_By]]&lt;&gt;"","Yes","No")</f>
        <v>No</v>
      </c>
      <c r="N26" s="15">
        <f>Table134[[#This Row],[Monthly_Fee]]*Table134[[#This Row],[Membership_Duration_M]]</f>
        <v>16200</v>
      </c>
      <c r="O26" t="str">
        <f>IF(AND(Table134[[#This Row],[Attendance]]&lt;8,Table134[[#This Row],[Membership_Duration_M]]&gt;=6),"Low Engagement","")</f>
        <v>Low Engagement</v>
      </c>
      <c r="P26" s="18" t="str">
        <f>IF(Table134[[#This Row],[Age]]&lt;30,"Youth",IF(Table134[[#This Row],[Age]]&lt;45,"Adult",IF(Table134[[#This Row],[Age]]&gt;46,"Senior")))</f>
        <v>Youth</v>
      </c>
    </row>
    <row r="27" spans="1:16" x14ac:dyDescent="0.3">
      <c r="A27" s="1" t="s">
        <v>77</v>
      </c>
      <c r="B27" s="1" t="s">
        <v>78</v>
      </c>
      <c r="C27" s="29">
        <v>48</v>
      </c>
      <c r="D27" s="1" t="s">
        <v>12</v>
      </c>
      <c r="E27" s="1" t="s">
        <v>41</v>
      </c>
      <c r="F27" s="2">
        <v>45451</v>
      </c>
      <c r="G27" s="31">
        <v>45455</v>
      </c>
      <c r="H27" s="1">
        <v>1800</v>
      </c>
      <c r="I27" s="1">
        <v>18</v>
      </c>
      <c r="J27" s="1" t="s">
        <v>67</v>
      </c>
      <c r="L27" s="3">
        <f>INT((Table134[[#This Row],[End_Date]]-Table134[[#This Row],[Start_Date]])/30)</f>
        <v>0</v>
      </c>
      <c r="M27" s="3" t="str">
        <f>IF(Table134[[#This Row],[Referred_By]]&lt;&gt;"","Yes","No")</f>
        <v>No</v>
      </c>
      <c r="N27" s="3">
        <f>Table134[[#This Row],[Monthly_Fee]]*Table134[[#This Row],[Membership_Duration_M]]</f>
        <v>0</v>
      </c>
      <c r="O27" t="str">
        <f>IF(AND(Table134[[#This Row],[Attendance]]&lt;8,Table134[[#This Row],[Membership_Duration_M]]&gt;=6),"Low Engagement","")</f>
        <v/>
      </c>
      <c r="P27" s="18" t="str">
        <f>IF(Table134[[#This Row],[Age]]&lt;30,"Youth",IF(Table134[[#This Row],[Age]]&lt;45,"Adult",IF(Table134[[#This Row],[Age]]&gt;46,"Senior")))</f>
        <v>Senior</v>
      </c>
    </row>
    <row r="28" spans="1:16" x14ac:dyDescent="0.3">
      <c r="A28" s="13" t="s">
        <v>79</v>
      </c>
      <c r="B28" s="13" t="s">
        <v>80</v>
      </c>
      <c r="C28" s="30">
        <v>25</v>
      </c>
      <c r="D28" s="13" t="s">
        <v>27</v>
      </c>
      <c r="E28" s="13" t="s">
        <v>22</v>
      </c>
      <c r="F28" s="14">
        <v>45439</v>
      </c>
      <c r="G28" s="32">
        <v>45730</v>
      </c>
      <c r="H28" s="13">
        <v>1200</v>
      </c>
      <c r="I28" s="13">
        <v>6</v>
      </c>
      <c r="J28" s="13" t="s">
        <v>14</v>
      </c>
      <c r="K28" s="16"/>
      <c r="L28" s="15">
        <f>INT((Table134[[#This Row],[End_Date]]-Table134[[#This Row],[Start_Date]])/30)</f>
        <v>9</v>
      </c>
      <c r="M28" s="15" t="str">
        <f>IF(Table134[[#This Row],[Referred_By]]&lt;&gt;"","Yes","No")</f>
        <v>No</v>
      </c>
      <c r="N28" s="15">
        <f>Table134[[#This Row],[Monthly_Fee]]*Table134[[#This Row],[Membership_Duration_M]]</f>
        <v>10800</v>
      </c>
      <c r="O28" t="str">
        <f>IF(AND(Table134[[#This Row],[Attendance]]&lt;8,Table134[[#This Row],[Membership_Duration_M]]&gt;=6),"Low Engagement","")</f>
        <v>Low Engagement</v>
      </c>
      <c r="P28" s="18" t="str">
        <f>IF(Table134[[#This Row],[Age]]&lt;30,"Youth",IF(Table134[[#This Row],[Age]]&lt;45,"Adult",IF(Table134[[#This Row],[Age]]&gt;46,"Senior")))</f>
        <v>Youth</v>
      </c>
    </row>
    <row r="29" spans="1:16" x14ac:dyDescent="0.3">
      <c r="A29" s="1" t="s">
        <v>81</v>
      </c>
      <c r="B29" s="1" t="s">
        <v>82</v>
      </c>
      <c r="C29" s="29">
        <v>53</v>
      </c>
      <c r="D29" s="1" t="s">
        <v>12</v>
      </c>
      <c r="E29" s="1" t="s">
        <v>41</v>
      </c>
      <c r="F29" s="2">
        <v>45286</v>
      </c>
      <c r="G29" s="31">
        <v>45372</v>
      </c>
      <c r="H29" s="1">
        <v>1800</v>
      </c>
      <c r="I29" s="1">
        <v>17</v>
      </c>
      <c r="J29" s="1" t="s">
        <v>35</v>
      </c>
      <c r="K29" s="1" t="s">
        <v>83</v>
      </c>
      <c r="L29" s="3">
        <f>INT((Table134[[#This Row],[End_Date]]-Table134[[#This Row],[Start_Date]])/30)</f>
        <v>2</v>
      </c>
      <c r="M29" s="3" t="str">
        <f>IF(Table134[[#This Row],[Referred_By]]&lt;&gt;"","Yes","No")</f>
        <v>Yes</v>
      </c>
      <c r="N29" s="3">
        <f>Table134[[#This Row],[Monthly_Fee]]*Table134[[#This Row],[Membership_Duration_M]]</f>
        <v>3600</v>
      </c>
      <c r="O29" t="str">
        <f>IF(AND(Table134[[#This Row],[Attendance]]&lt;8,Table134[[#This Row],[Membership_Duration_M]]&gt;=6),"Low Engagement","")</f>
        <v/>
      </c>
      <c r="P29" s="18" t="str">
        <f>IF(Table134[[#This Row],[Age]]&lt;30,"Youth",IF(Table134[[#This Row],[Age]]&lt;45,"Adult",IF(Table134[[#This Row],[Age]]&gt;46,"Senior")))</f>
        <v>Senior</v>
      </c>
    </row>
    <row r="30" spans="1:16" x14ac:dyDescent="0.3">
      <c r="A30" s="1" t="s">
        <v>84</v>
      </c>
      <c r="B30" s="1" t="s">
        <v>85</v>
      </c>
      <c r="C30" s="29">
        <v>42</v>
      </c>
      <c r="D30" s="1" t="s">
        <v>27</v>
      </c>
      <c r="E30" s="1" t="s">
        <v>22</v>
      </c>
      <c r="F30" s="2">
        <v>45702</v>
      </c>
      <c r="G30" s="31">
        <v>45727</v>
      </c>
      <c r="H30" s="1">
        <v>1200</v>
      </c>
      <c r="I30" s="1">
        <v>3</v>
      </c>
      <c r="J30" s="1" t="s">
        <v>67</v>
      </c>
      <c r="L30" s="3">
        <f>INT((Table134[[#This Row],[End_Date]]-Table134[[#This Row],[Start_Date]])/30)</f>
        <v>0</v>
      </c>
      <c r="M30" s="3" t="str">
        <f>IF(Table134[[#This Row],[Referred_By]]&lt;&gt;"","Yes","No")</f>
        <v>No</v>
      </c>
      <c r="N30" s="3">
        <f>Table134[[#This Row],[Monthly_Fee]]*Table134[[#This Row],[Membership_Duration_M]]</f>
        <v>0</v>
      </c>
      <c r="O30" t="str">
        <f>IF(AND(Table134[[#This Row],[Attendance]]&lt;8,Table134[[#This Row],[Membership_Duration_M]]&gt;=6),"Low Engagement","")</f>
        <v/>
      </c>
      <c r="P30" s="18" t="str">
        <f>IF(Table134[[#This Row],[Age]]&lt;30,"Youth",IF(Table134[[#This Row],[Age]]&lt;45,"Adult",IF(Table134[[#This Row],[Age]]&gt;46,"Senior")))</f>
        <v>Adult</v>
      </c>
    </row>
    <row r="31" spans="1:16" x14ac:dyDescent="0.3">
      <c r="A31" s="1" t="s">
        <v>86</v>
      </c>
      <c r="B31" s="1" t="s">
        <v>87</v>
      </c>
      <c r="C31" s="29">
        <v>24</v>
      </c>
      <c r="D31" s="1" t="s">
        <v>12</v>
      </c>
      <c r="E31" s="1" t="s">
        <v>31</v>
      </c>
      <c r="F31" s="2">
        <v>45698</v>
      </c>
      <c r="G31" s="31">
        <v>45726</v>
      </c>
      <c r="H31" s="1">
        <v>2500</v>
      </c>
      <c r="I31" s="1">
        <v>28</v>
      </c>
      <c r="J31" s="1" t="s">
        <v>35</v>
      </c>
      <c r="L31" s="3">
        <f>INT((Table134[[#This Row],[End_Date]]-Table134[[#This Row],[Start_Date]])/30)</f>
        <v>0</v>
      </c>
      <c r="M31" s="3" t="str">
        <f>IF(Table134[[#This Row],[Referred_By]]&lt;&gt;"","Yes","No")</f>
        <v>No</v>
      </c>
      <c r="N31" s="3">
        <f>Table134[[#This Row],[Monthly_Fee]]*Table134[[#This Row],[Membership_Duration_M]]</f>
        <v>0</v>
      </c>
      <c r="O31" t="str">
        <f>IF(AND(Table134[[#This Row],[Attendance]]&lt;8,Table134[[#This Row],[Membership_Duration_M]]&gt;=6),"Low Engagement","")</f>
        <v/>
      </c>
      <c r="P31" s="18" t="str">
        <f>IF(Table134[[#This Row],[Age]]&lt;30,"Youth",IF(Table134[[#This Row],[Age]]&lt;45,"Adult",IF(Table134[[#This Row],[Age]]&gt;46,"Senior")))</f>
        <v>Youth</v>
      </c>
    </row>
    <row r="32" spans="1:16" x14ac:dyDescent="0.3">
      <c r="A32" s="1" t="s">
        <v>88</v>
      </c>
      <c r="B32" s="1" t="s">
        <v>89</v>
      </c>
      <c r="C32" s="29">
        <v>53</v>
      </c>
      <c r="D32" s="1" t="s">
        <v>12</v>
      </c>
      <c r="E32" s="1" t="s">
        <v>22</v>
      </c>
      <c r="F32" s="2">
        <v>45614</v>
      </c>
      <c r="G32" s="31">
        <v>45645</v>
      </c>
      <c r="H32" s="1">
        <v>1200</v>
      </c>
      <c r="I32" s="1">
        <v>23</v>
      </c>
      <c r="J32" s="1" t="s">
        <v>18</v>
      </c>
      <c r="L32" s="3">
        <f>INT((Table134[[#This Row],[End_Date]]-Table134[[#This Row],[Start_Date]])/30)</f>
        <v>1</v>
      </c>
      <c r="M32" s="3" t="str">
        <f>IF(Table134[[#This Row],[Referred_By]]&lt;&gt;"","Yes","No")</f>
        <v>No</v>
      </c>
      <c r="N32" s="3">
        <f>Table134[[#This Row],[Monthly_Fee]]*Table134[[#This Row],[Membership_Duration_M]]</f>
        <v>1200</v>
      </c>
      <c r="O32" t="str">
        <f>IF(AND(Table134[[#This Row],[Attendance]]&lt;8,Table134[[#This Row],[Membership_Duration_M]]&gt;=6),"Low Engagement","")</f>
        <v/>
      </c>
      <c r="P32" s="18" t="str">
        <f>IF(Table134[[#This Row],[Age]]&lt;30,"Youth",IF(Table134[[#This Row],[Age]]&lt;45,"Adult",IF(Table134[[#This Row],[Age]]&gt;46,"Senior")))</f>
        <v>Senior</v>
      </c>
    </row>
    <row r="33" spans="1:16" x14ac:dyDescent="0.3">
      <c r="A33" s="1" t="s">
        <v>90</v>
      </c>
      <c r="B33" s="1" t="s">
        <v>91</v>
      </c>
      <c r="C33" s="29">
        <v>29</v>
      </c>
      <c r="D33" s="1" t="s">
        <v>27</v>
      </c>
      <c r="E33" s="1" t="s">
        <v>31</v>
      </c>
      <c r="F33" s="2">
        <v>45401</v>
      </c>
      <c r="G33" s="31">
        <v>45408</v>
      </c>
      <c r="H33" s="1">
        <v>2500</v>
      </c>
      <c r="I33" s="1">
        <v>8</v>
      </c>
      <c r="J33" s="1" t="s">
        <v>23</v>
      </c>
      <c r="L33" s="3">
        <f>INT((Table134[[#This Row],[End_Date]]-Table134[[#This Row],[Start_Date]])/30)</f>
        <v>0</v>
      </c>
      <c r="M33" s="3" t="str">
        <f>IF(Table134[[#This Row],[Referred_By]]&lt;&gt;"","Yes","No")</f>
        <v>No</v>
      </c>
      <c r="N33" s="3">
        <f>Table134[[#This Row],[Monthly_Fee]]*Table134[[#This Row],[Membership_Duration_M]]</f>
        <v>0</v>
      </c>
      <c r="O33" t="str">
        <f>IF(AND(Table134[[#This Row],[Attendance]]&lt;8,Table134[[#This Row],[Membership_Duration_M]]&gt;=6),"Low Engagement","")</f>
        <v/>
      </c>
      <c r="P33" s="18" t="str">
        <f>IF(Table134[[#This Row],[Age]]&lt;30,"Youth",IF(Table134[[#This Row],[Age]]&lt;45,"Adult",IF(Table134[[#This Row],[Age]]&gt;46,"Senior")))</f>
        <v>Youth</v>
      </c>
    </row>
    <row r="34" spans="1:16" x14ac:dyDescent="0.3">
      <c r="A34" s="1" t="s">
        <v>92</v>
      </c>
      <c r="B34" s="1" t="s">
        <v>93</v>
      </c>
      <c r="C34" s="29">
        <v>31</v>
      </c>
      <c r="D34" s="1" t="s">
        <v>27</v>
      </c>
      <c r="E34" s="1" t="s">
        <v>31</v>
      </c>
      <c r="F34" s="2">
        <v>45667</v>
      </c>
      <c r="G34" s="31">
        <v>45745</v>
      </c>
      <c r="H34" s="1">
        <v>2500</v>
      </c>
      <c r="I34" s="1">
        <v>23</v>
      </c>
      <c r="J34" s="1" t="s">
        <v>42</v>
      </c>
      <c r="K34" s="1" t="s">
        <v>94</v>
      </c>
      <c r="L34" s="3">
        <f>INT((Table134[[#This Row],[End_Date]]-Table134[[#This Row],[Start_Date]])/30)</f>
        <v>2</v>
      </c>
      <c r="M34" s="3" t="str">
        <f>IF(Table134[[#This Row],[Referred_By]]&lt;&gt;"","Yes","No")</f>
        <v>Yes</v>
      </c>
      <c r="N34" s="3">
        <f>Table134[[#This Row],[Monthly_Fee]]*Table134[[#This Row],[Membership_Duration_M]]</f>
        <v>5000</v>
      </c>
      <c r="O34" t="str">
        <f>IF(AND(Table134[[#This Row],[Attendance]]&lt;8,Table134[[#This Row],[Membership_Duration_M]]&gt;=6),"Low Engagement","")</f>
        <v/>
      </c>
      <c r="P34" s="18" t="str">
        <f>IF(Table134[[#This Row],[Age]]&lt;30,"Youth",IF(Table134[[#This Row],[Age]]&lt;45,"Adult",IF(Table134[[#This Row],[Age]]&gt;46,"Senior")))</f>
        <v>Adult</v>
      </c>
    </row>
    <row r="35" spans="1:16" x14ac:dyDescent="0.3">
      <c r="A35" s="1" t="s">
        <v>95</v>
      </c>
      <c r="B35" s="1" t="s">
        <v>96</v>
      </c>
      <c r="C35" s="29">
        <v>52</v>
      </c>
      <c r="D35" s="1" t="s">
        <v>27</v>
      </c>
      <c r="E35" s="1" t="s">
        <v>13</v>
      </c>
      <c r="F35" s="2">
        <v>45088</v>
      </c>
      <c r="G35" s="31">
        <v>45656</v>
      </c>
      <c r="H35" s="1">
        <v>800</v>
      </c>
      <c r="I35" s="1">
        <v>9</v>
      </c>
      <c r="J35" s="1" t="s">
        <v>67</v>
      </c>
      <c r="K35" s="1" t="s">
        <v>97</v>
      </c>
      <c r="L35" s="3">
        <f>INT((Table134[[#This Row],[End_Date]]-Table134[[#This Row],[Start_Date]])/30)</f>
        <v>18</v>
      </c>
      <c r="M35" s="3" t="str">
        <f>IF(Table134[[#This Row],[Referred_By]]&lt;&gt;"","Yes","No")</f>
        <v>Yes</v>
      </c>
      <c r="N35" s="3">
        <f>Table134[[#This Row],[Monthly_Fee]]*Table134[[#This Row],[Membership_Duration_M]]</f>
        <v>14400</v>
      </c>
      <c r="O35" t="str">
        <f>IF(AND(Table134[[#This Row],[Attendance]]&lt;8,Table134[[#This Row],[Membership_Duration_M]]&gt;=6),"Low Engagement","")</f>
        <v/>
      </c>
      <c r="P35" s="18" t="str">
        <f>IF(Table134[[#This Row],[Age]]&lt;30,"Youth",IF(Table134[[#This Row],[Age]]&lt;45,"Adult",IF(Table134[[#This Row],[Age]]&gt;46,"Senior")))</f>
        <v>Senior</v>
      </c>
    </row>
    <row r="36" spans="1:16" x14ac:dyDescent="0.3">
      <c r="A36" s="13" t="s">
        <v>98</v>
      </c>
      <c r="B36" s="13" t="s">
        <v>99</v>
      </c>
      <c r="C36" s="30">
        <v>20</v>
      </c>
      <c r="D36" s="13" t="s">
        <v>12</v>
      </c>
      <c r="E36" s="13" t="s">
        <v>22</v>
      </c>
      <c r="F36" s="14">
        <v>45391</v>
      </c>
      <c r="G36" s="32">
        <v>45604</v>
      </c>
      <c r="H36" s="13">
        <v>1200</v>
      </c>
      <c r="I36" s="13">
        <v>2</v>
      </c>
      <c r="J36" s="13" t="s">
        <v>35</v>
      </c>
      <c r="K36" s="16"/>
      <c r="L36" s="15">
        <f>INT((Table134[[#This Row],[End_Date]]-Table134[[#This Row],[Start_Date]])/30)</f>
        <v>7</v>
      </c>
      <c r="M36" s="15" t="str">
        <f>IF(Table134[[#This Row],[Referred_By]]&lt;&gt;"","Yes","No")</f>
        <v>No</v>
      </c>
      <c r="N36" s="15">
        <f>Table134[[#This Row],[Monthly_Fee]]*Table134[[#This Row],[Membership_Duration_M]]</f>
        <v>8400</v>
      </c>
      <c r="O36" t="str">
        <f>IF(AND(Table134[[#This Row],[Attendance]]&lt;8,Table134[[#This Row],[Membership_Duration_M]]&gt;=6),"Low Engagement","")</f>
        <v>Low Engagement</v>
      </c>
      <c r="P36" s="18" t="str">
        <f>IF(Table134[[#This Row],[Age]]&lt;30,"Youth",IF(Table134[[#This Row],[Age]]&lt;45,"Adult",IF(Table134[[#This Row],[Age]]&gt;46,"Senior")))</f>
        <v>Youth</v>
      </c>
    </row>
    <row r="37" spans="1:16" x14ac:dyDescent="0.3">
      <c r="A37" s="1" t="s">
        <v>100</v>
      </c>
      <c r="B37" s="1" t="s">
        <v>101</v>
      </c>
      <c r="C37" s="29">
        <v>22</v>
      </c>
      <c r="D37" s="1" t="s">
        <v>12</v>
      </c>
      <c r="E37" s="1" t="s">
        <v>13</v>
      </c>
      <c r="F37" s="2">
        <v>45699</v>
      </c>
      <c r="G37" s="31">
        <v>45740</v>
      </c>
      <c r="H37" s="1">
        <v>800</v>
      </c>
      <c r="I37" s="1">
        <v>30</v>
      </c>
      <c r="J37" s="1" t="s">
        <v>35</v>
      </c>
      <c r="L37" s="3">
        <f>INT((Table134[[#This Row],[End_Date]]-Table134[[#This Row],[Start_Date]])/30)</f>
        <v>1</v>
      </c>
      <c r="M37" s="3" t="str">
        <f>IF(Table134[[#This Row],[Referred_By]]&lt;&gt;"","Yes","No")</f>
        <v>No</v>
      </c>
      <c r="N37" s="3">
        <f>Table134[[#This Row],[Monthly_Fee]]*Table134[[#This Row],[Membership_Duration_M]]</f>
        <v>800</v>
      </c>
      <c r="O37" t="str">
        <f>IF(AND(Table134[[#This Row],[Attendance]]&lt;8,Table134[[#This Row],[Membership_Duration_M]]&gt;=6),"Low Engagement","")</f>
        <v/>
      </c>
      <c r="P37" s="18" t="str">
        <f>IF(Table134[[#This Row],[Age]]&lt;30,"Youth",IF(Table134[[#This Row],[Age]]&lt;45,"Adult",IF(Table134[[#This Row],[Age]]&gt;46,"Senior")))</f>
        <v>Youth</v>
      </c>
    </row>
    <row r="38" spans="1:16" x14ac:dyDescent="0.3">
      <c r="A38" s="1" t="s">
        <v>102</v>
      </c>
      <c r="B38" s="1" t="s">
        <v>103</v>
      </c>
      <c r="C38" s="29">
        <v>23</v>
      </c>
      <c r="D38" s="1" t="s">
        <v>12</v>
      </c>
      <c r="E38" s="1" t="s">
        <v>41</v>
      </c>
      <c r="F38" s="2">
        <v>45588</v>
      </c>
      <c r="G38" s="31">
        <v>45721</v>
      </c>
      <c r="H38" s="1">
        <v>1800</v>
      </c>
      <c r="I38" s="1">
        <v>23</v>
      </c>
      <c r="J38" s="1" t="s">
        <v>18</v>
      </c>
      <c r="K38" s="1" t="s">
        <v>104</v>
      </c>
      <c r="L38" s="3">
        <f>INT((Table134[[#This Row],[End_Date]]-Table134[[#This Row],[Start_Date]])/30)</f>
        <v>4</v>
      </c>
      <c r="M38" s="3" t="str">
        <f>IF(Table134[[#This Row],[Referred_By]]&lt;&gt;"","Yes","No")</f>
        <v>Yes</v>
      </c>
      <c r="N38" s="3">
        <f>Table134[[#This Row],[Monthly_Fee]]*Table134[[#This Row],[Membership_Duration_M]]</f>
        <v>7200</v>
      </c>
      <c r="O38" t="str">
        <f>IF(AND(Table134[[#This Row],[Attendance]]&lt;8,Table134[[#This Row],[Membership_Duration_M]]&gt;=6),"Low Engagement","")</f>
        <v/>
      </c>
      <c r="P38" s="18" t="str">
        <f>IF(Table134[[#This Row],[Age]]&lt;30,"Youth",IF(Table134[[#This Row],[Age]]&lt;45,"Adult",IF(Table134[[#This Row],[Age]]&gt;46,"Senior")))</f>
        <v>Youth</v>
      </c>
    </row>
    <row r="39" spans="1:16" x14ac:dyDescent="0.3">
      <c r="A39" s="1" t="s">
        <v>105</v>
      </c>
      <c r="B39" s="1" t="s">
        <v>106</v>
      </c>
      <c r="C39" s="29">
        <v>27</v>
      </c>
      <c r="D39" s="1" t="s">
        <v>27</v>
      </c>
      <c r="E39" s="1" t="s">
        <v>22</v>
      </c>
      <c r="F39" s="2">
        <v>45312</v>
      </c>
      <c r="G39" s="31">
        <v>45652</v>
      </c>
      <c r="H39" s="1">
        <v>1200</v>
      </c>
      <c r="I39" s="1">
        <v>27</v>
      </c>
      <c r="J39" s="1" t="s">
        <v>18</v>
      </c>
      <c r="L39" s="3">
        <f>INT((Table134[[#This Row],[End_Date]]-Table134[[#This Row],[Start_Date]])/30)</f>
        <v>11</v>
      </c>
      <c r="M39" s="3" t="str">
        <f>IF(Table134[[#This Row],[Referred_By]]&lt;&gt;"","Yes","No")</f>
        <v>No</v>
      </c>
      <c r="N39" s="3">
        <f>Table134[[#This Row],[Monthly_Fee]]*Table134[[#This Row],[Membership_Duration_M]]</f>
        <v>13200</v>
      </c>
      <c r="O39" t="str">
        <f>IF(AND(Table134[[#This Row],[Attendance]]&lt;8,Table134[[#This Row],[Membership_Duration_M]]&gt;=6),"Low Engagement","")</f>
        <v/>
      </c>
      <c r="P39" s="18" t="str">
        <f>IF(Table134[[#This Row],[Age]]&lt;30,"Youth",IF(Table134[[#This Row],[Age]]&lt;45,"Adult",IF(Table134[[#This Row],[Age]]&gt;46,"Senior")))</f>
        <v>Youth</v>
      </c>
    </row>
    <row r="40" spans="1:16" x14ac:dyDescent="0.3">
      <c r="L40" s="3"/>
    </row>
    <row r="41" spans="1:16" x14ac:dyDescent="0.3">
      <c r="L41" s="3"/>
    </row>
    <row r="42" spans="1:16" x14ac:dyDescent="0.3">
      <c r="L42" s="3"/>
    </row>
    <row r="43" spans="1:16" x14ac:dyDescent="0.3">
      <c r="L43" s="3"/>
    </row>
    <row r="44" spans="1:16" x14ac:dyDescent="0.3">
      <c r="A44" s="4" t="s">
        <v>121</v>
      </c>
      <c r="B44" s="4" t="s">
        <v>117</v>
      </c>
      <c r="G44" s="4" t="s">
        <v>121</v>
      </c>
      <c r="H44" s="4" t="s">
        <v>117</v>
      </c>
      <c r="L44" s="3"/>
    </row>
    <row r="45" spans="1:16" x14ac:dyDescent="0.3">
      <c r="A45" s="4" t="s">
        <v>109</v>
      </c>
      <c r="B45" t="s">
        <v>27</v>
      </c>
      <c r="C45" t="s">
        <v>12</v>
      </c>
      <c r="D45" t="s">
        <v>112</v>
      </c>
      <c r="G45" s="4" t="s">
        <v>109</v>
      </c>
      <c r="H45" t="s">
        <v>122</v>
      </c>
      <c r="I45" t="s">
        <v>123</v>
      </c>
      <c r="J45" t="s">
        <v>124</v>
      </c>
      <c r="K45" t="s">
        <v>112</v>
      </c>
      <c r="L45" s="3"/>
    </row>
    <row r="46" spans="1:16" x14ac:dyDescent="0.3">
      <c r="A46" s="5" t="s">
        <v>14</v>
      </c>
      <c r="B46">
        <v>3</v>
      </c>
      <c r="C46">
        <v>2</v>
      </c>
      <c r="D46">
        <v>5</v>
      </c>
      <c r="G46" s="5" t="s">
        <v>13</v>
      </c>
      <c r="H46">
        <v>4</v>
      </c>
      <c r="I46">
        <v>2</v>
      </c>
      <c r="J46">
        <v>3</v>
      </c>
      <c r="K46">
        <v>9</v>
      </c>
      <c r="L46" s="3"/>
    </row>
    <row r="47" spans="1:16" x14ac:dyDescent="0.3">
      <c r="A47" s="5" t="s">
        <v>67</v>
      </c>
      <c r="B47">
        <v>3</v>
      </c>
      <c r="C47">
        <v>1</v>
      </c>
      <c r="D47">
        <v>4</v>
      </c>
      <c r="G47" s="5" t="s">
        <v>31</v>
      </c>
      <c r="H47">
        <v>2</v>
      </c>
      <c r="I47">
        <v>1</v>
      </c>
      <c r="J47">
        <v>4</v>
      </c>
      <c r="K47">
        <v>7</v>
      </c>
      <c r="L47" s="3"/>
    </row>
    <row r="48" spans="1:16" x14ac:dyDescent="0.3">
      <c r="A48" s="5" t="s">
        <v>23</v>
      </c>
      <c r="B48">
        <v>3</v>
      </c>
      <c r="C48">
        <v>2</v>
      </c>
      <c r="D48">
        <v>5</v>
      </c>
      <c r="G48" s="5" t="s">
        <v>41</v>
      </c>
      <c r="H48">
        <v>1</v>
      </c>
      <c r="I48">
        <v>4</v>
      </c>
      <c r="J48">
        <v>2</v>
      </c>
      <c r="K48">
        <v>7</v>
      </c>
      <c r="L48" s="3"/>
    </row>
    <row r="49" spans="1:12" x14ac:dyDescent="0.3">
      <c r="A49" s="5" t="s">
        <v>42</v>
      </c>
      <c r="B49">
        <v>2</v>
      </c>
      <c r="C49">
        <v>4</v>
      </c>
      <c r="D49">
        <v>6</v>
      </c>
      <c r="G49" s="5" t="s">
        <v>22</v>
      </c>
      <c r="H49">
        <v>6</v>
      </c>
      <c r="I49">
        <v>2</v>
      </c>
      <c r="J49">
        <v>4</v>
      </c>
      <c r="K49">
        <v>12</v>
      </c>
      <c r="L49" s="3"/>
    </row>
    <row r="50" spans="1:12" x14ac:dyDescent="0.3">
      <c r="A50" s="5" t="s">
        <v>35</v>
      </c>
      <c r="B50">
        <v>2</v>
      </c>
      <c r="C50">
        <v>8</v>
      </c>
      <c r="D50">
        <v>10</v>
      </c>
      <c r="G50" s="5" t="s">
        <v>112</v>
      </c>
      <c r="H50">
        <v>13</v>
      </c>
      <c r="I50">
        <v>9</v>
      </c>
      <c r="J50">
        <v>13</v>
      </c>
      <c r="K50">
        <v>35</v>
      </c>
      <c r="L50" s="3"/>
    </row>
    <row r="51" spans="1:12" x14ac:dyDescent="0.3">
      <c r="A51" s="5" t="s">
        <v>18</v>
      </c>
      <c r="B51">
        <v>2</v>
      </c>
      <c r="C51">
        <v>3</v>
      </c>
      <c r="D51">
        <v>5</v>
      </c>
      <c r="L51" s="3"/>
    </row>
    <row r="52" spans="1:12" x14ac:dyDescent="0.3">
      <c r="A52" s="5" t="s">
        <v>112</v>
      </c>
      <c r="B52">
        <v>15</v>
      </c>
      <c r="C52">
        <v>20</v>
      </c>
      <c r="D52">
        <v>35</v>
      </c>
      <c r="L52" s="3"/>
    </row>
    <row r="53" spans="1:12" x14ac:dyDescent="0.3">
      <c r="L53" s="3"/>
    </row>
    <row r="55" spans="1:12" x14ac:dyDescent="0.3">
      <c r="B55" s="95" t="s">
        <v>138</v>
      </c>
      <c r="C55" s="46"/>
      <c r="D55" s="46"/>
      <c r="G55" s="95" t="s">
        <v>139</v>
      </c>
      <c r="H55" s="46"/>
      <c r="I55" s="46"/>
      <c r="J55" s="46"/>
    </row>
    <row r="56" spans="1:12" x14ac:dyDescent="0.3">
      <c r="B56" s="46"/>
      <c r="C56" s="46"/>
      <c r="D56" s="46"/>
      <c r="G56" s="46"/>
      <c r="H56" s="46"/>
      <c r="I56" s="46"/>
      <c r="J56" s="46"/>
    </row>
    <row r="57" spans="1:12" x14ac:dyDescent="0.3">
      <c r="B57" s="46"/>
      <c r="C57" s="46"/>
      <c r="D57" s="46"/>
      <c r="G57" s="46"/>
      <c r="H57" s="46"/>
      <c r="I57" s="46"/>
      <c r="J57" s="46"/>
    </row>
    <row r="58" spans="1:12" x14ac:dyDescent="0.3">
      <c r="B58" s="46"/>
      <c r="C58" s="46"/>
      <c r="D58" s="46"/>
      <c r="G58" s="46"/>
      <c r="H58" s="46"/>
      <c r="I58" s="46"/>
      <c r="J58" s="46"/>
    </row>
  </sheetData>
  <mergeCells count="2">
    <mergeCell ref="B55:D58"/>
    <mergeCell ref="G55:J58"/>
  </mergeCells>
  <conditionalFormatting sqref="A24:P39">
    <cfRule type="expression" priority="1">
      <formula>AND($I1048538&lt;8, $L1048538&gt;=6)</formula>
    </cfRule>
  </conditionalFormatting>
  <conditionalFormatting sqref="O26:P26">
    <cfRule type="notContainsText" priority="4" operator="notContains" text="&quot;&quot;">
      <formula>ISERROR(SEARCH("""""",O26))</formula>
    </cfRule>
  </conditionalFormatting>
  <conditionalFormatting sqref="O36:P36">
    <cfRule type="colorScale" priority="2">
      <colorScale>
        <cfvo type="formula" val="&quot;&quot;&quot;&quot;&quot;&quot;"/>
        <cfvo type="formula" val="&quot;&quot;&quot;&quot;&quot;&quot;"/>
        <color rgb="FFFF7128"/>
        <color rgb="FFFFEF9C"/>
      </colorScale>
    </cfRule>
    <cfRule type="notContainsText" priority="3" operator="notContains" text="&quot;&quot;">
      <formula>ISERROR(SEARCH("""""",O36))</formula>
    </cfRule>
  </conditionalFormatting>
  <pageMargins left="0.7" right="0.7" top="0.75" bottom="0.75" header="0.3" footer="0.3"/>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23" id="{AC541DAC-DF86-424F-ADE9-2523A831E150}">
            <xm:f>AND(Q.3!$I24&lt;8, Q.3!$L24&gt;=6)</xm:f>
            <x14:dxf/>
          </x14:cfRule>
          <xm:sqref>A5:P23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Q.1</vt:lpstr>
      <vt:lpstr>Q.2</vt:lpstr>
      <vt:lpstr>Q.3</vt:lpstr>
      <vt:lpstr>Q.4</vt:lpstr>
      <vt:lpstr>Q.5</vt:lpstr>
      <vt:lpstr>Q.6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Ashish Saini</dc:creator>
  <cp:lastModifiedBy>Ashish Saini</cp:lastModifiedBy>
  <dcterms:created xsi:type="dcterms:W3CDTF">2025-04-06T20:54:03Z</dcterms:created>
  <dcterms:modified xsi:type="dcterms:W3CDTF">2026-06-26T09:42:08Z</dcterms:modified>
</cp:coreProperties>
</file>