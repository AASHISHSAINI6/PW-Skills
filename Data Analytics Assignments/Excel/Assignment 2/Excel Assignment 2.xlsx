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shi\Desktop\PW Skills\Excel assingement\Assingment 2\"/>
    </mc:Choice>
  </mc:AlternateContent>
  <xr:revisionPtr revIDLastSave="0" documentId="13_ncr:1_{ACFEFC35-72AE-4FCE-A1D4-0496CBB88A93}" xr6:coauthVersionLast="47" xr6:coauthVersionMax="47" xr10:uidLastSave="{00000000-0000-0000-0000-000000000000}"/>
  <bookViews>
    <workbookView xWindow="-108" yWindow="-108" windowWidth="23256" windowHeight="13176" firstSheet="2" activeTab="4" xr2:uid="{00000000-000D-0000-FFFF-FFFF00000000}"/>
  </bookViews>
  <sheets>
    <sheet name="Data Cleaning and Transformatio" sheetId="2" r:id="rId1"/>
    <sheet name="Pivot Table for Total_Amount by" sheetId="4" r:id="rId2"/>
    <sheet name="VLOOKUP and INDEX   MATCH opera" sheetId="5" r:id="rId3"/>
    <sheet name=" Line Chart for Revenue Trend(T" sheetId="3" r:id="rId4"/>
    <sheet name="Profit Margin Calculation" sheetId="6" r:id="rId5"/>
  </sheets>
  <definedNames>
    <definedName name="_xlnm._FilterDatabase" localSheetId="0" hidden="1">'Data Cleaning and Transformatio'!$A$1:$H$31</definedName>
    <definedName name="_xlnm._FilterDatabase" localSheetId="1" hidden="1">'Pivot Table for Total_Amount by'!$B$4:$B$9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6" l="1"/>
  <c r="J10" i="6"/>
  <c r="J26" i="6"/>
  <c r="J34" i="6"/>
  <c r="J25" i="6"/>
  <c r="J19" i="6"/>
  <c r="J17" i="6"/>
  <c r="J20" i="6"/>
  <c r="J16" i="6"/>
  <c r="J27" i="6"/>
  <c r="J35" i="6"/>
  <c r="J29" i="6"/>
  <c r="J14" i="6"/>
  <c r="J11" i="6"/>
  <c r="J24" i="6"/>
  <c r="J13" i="6"/>
  <c r="J22" i="6"/>
  <c r="J21" i="6"/>
  <c r="J18" i="6"/>
  <c r="J12" i="6"/>
  <c r="J23" i="6"/>
  <c r="J32" i="6"/>
  <c r="J28" i="6"/>
  <c r="J33" i="6"/>
  <c r="J9" i="6"/>
  <c r="J31" i="6"/>
  <c r="J8" i="6"/>
  <c r="J36" i="6"/>
  <c r="J15" i="6"/>
  <c r="J7" i="6"/>
  <c r="K10" i="5"/>
  <c r="B11" i="5"/>
</calcChain>
</file>

<file path=xl/sharedStrings.xml><?xml version="1.0" encoding="utf-8"?>
<sst xmlns="http://schemas.openxmlformats.org/spreadsheetml/2006/main" count="378" uniqueCount="107">
  <si>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</si>
  <si>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</si>
  <si>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</si>
  <si>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</si>
  <si>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</si>
  <si>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</si>
  <si>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</si>
  <si>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</si>
  <si>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Wireless Mouse</t>
  </si>
  <si>
    <t>Electronics</t>
  </si>
  <si>
    <t>North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</si>
  <si>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</si>
  <si>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</si>
  <si>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</si>
  <si>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</si>
  <si>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</si>
  <si>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</si>
  <si>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</si>
  <si>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</si>
  <si>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</si>
  <si>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</si>
  <si>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</si>
  <si>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</si>
  <si>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Treadmill</t>
  </si>
  <si>
    <t>Air Fryer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</si>
  <si>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</si>
  <si>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</si>
  <si>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</si>
  <si>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</si>
  <si>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</si>
  <si>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</si>
  <si>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</si>
  <si>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</si>
  <si>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</si>
  <si>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</si>
  <si>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</si>
  <si>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</si>
  <si>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</si>
  <si>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</si>
  <si>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</si>
  <si>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</si>
  <si>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</si>
  <si>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</si>
  <si>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</si>
  <si>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</si>
  <si>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</si>
  <si>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</si>
  <si>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</si>
  <si>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</si>
  <si>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</si>
  <si>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</si>
  <si>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</si>
  <si>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</si>
  <si>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</si>
  <si>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</si>
  <si>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</si>
  <si>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</si>
  <si>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</si>
  <si>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</si>
  <si>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</si>
  <si>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</si>
  <si>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</si>
  <si>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</si>
  <si>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</si>
  <si>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</si>
  <si>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In this "Green" will show the highest revenue by region and "Red" color will show the lowest revenue by region.</t>
  </si>
  <si>
    <t>Summary :-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</si>
  <si>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</si>
  <si>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</si>
  <si>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</si>
  <si>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</si>
  <si>
    <t>Customer_Region Uppercase</t>
  </si>
  <si>
    <t>NORTH</t>
  </si>
  <si>
    <t>SOUTH</t>
  </si>
  <si>
    <t>EAST</t>
  </si>
  <si>
    <t>WEST</t>
  </si>
  <si>
    <r>
      <t xml:space="preserve">A line chart was created using the </t>
    </r>
    <r>
      <rPr>
        <b/>
        <sz val="11"/>
        <color theme="1"/>
        <rFont val="Arial"/>
        <family val="2"/>
        <scheme val="minor"/>
      </rPr>
      <t>Order_Date</t>
    </r>
    <r>
      <rPr>
        <sz val="10"/>
        <color rgb="FF000000"/>
        <rFont val="Arial"/>
        <scheme val="minor"/>
      </rPr>
      <t xml:space="preserve"> and </t>
    </r>
    <r>
      <rPr>
        <b/>
        <sz val="11"/>
        <color theme="1"/>
        <rFont val="Arial"/>
        <family val="2"/>
        <scheme val="minor"/>
      </rPr>
      <t>Total_Amount</t>
    </r>
    <r>
      <rPr>
        <sz val="10"/>
        <color rgb="FF000000"/>
        <rFont val="Arial"/>
        <scheme val="minor"/>
      </rPr>
      <t xml:space="preserve"> 
columns to visualize the sales revenue trend throughout </t>
    </r>
    <r>
      <rPr>
        <b/>
        <sz val="11"/>
        <color theme="1"/>
        <rFont val="Arial"/>
        <family val="2"/>
        <scheme val="minor"/>
      </rPr>
      <t>March 2025.</t>
    </r>
    <r>
      <rPr>
        <sz val="10"/>
        <color rgb="FF000000"/>
        <rFont val="Arial"/>
        <scheme val="minor"/>
      </rPr>
      <t xml:space="preserve">
The chart revealed noticeable spikes in revenue around dates such 
as </t>
    </r>
    <r>
      <rPr>
        <b/>
        <sz val="11"/>
        <color theme="1"/>
        <rFont val="Arial"/>
        <family val="2"/>
        <scheme val="minor"/>
      </rPr>
      <t>March 27</t>
    </r>
    <r>
      <rPr>
        <sz val="10"/>
        <color rgb="FF000000"/>
        <rFont val="Arial"/>
        <scheme val="minor"/>
      </rPr>
      <t xml:space="preserve"> and </t>
    </r>
    <r>
      <rPr>
        <b/>
        <sz val="11"/>
        <color theme="1"/>
        <rFont val="Arial"/>
        <family val="2"/>
        <scheme val="minor"/>
      </rPr>
      <t>March 30</t>
    </r>
    <r>
      <rPr>
        <sz val="10"/>
        <color rgb="FF000000"/>
        <rFont val="Arial"/>
        <scheme val="minor"/>
      </rPr>
      <t xml:space="preserve">, corresponding to high-value orders like the </t>
    </r>
    <r>
      <rPr>
        <b/>
        <sz val="11"/>
        <color theme="1"/>
        <rFont val="Arial"/>
        <family val="2"/>
        <scheme val="minor"/>
      </rPr>
      <t>Sofa Set</t>
    </r>
    <r>
      <rPr>
        <sz val="10"/>
        <color rgb="FF000000"/>
        <rFont val="Arial"/>
        <scheme val="minor"/>
      </rPr>
      <t xml:space="preserve"> and </t>
    </r>
    <r>
      <rPr>
        <b/>
        <sz val="11"/>
        <color theme="1"/>
        <rFont val="Arial"/>
        <family val="2"/>
        <scheme val="minor"/>
      </rPr>
      <t>Laptop.</t>
    </r>
    <r>
      <rPr>
        <sz val="10"/>
        <color rgb="FF000000"/>
        <rFont val="Arial"/>
        <scheme val="minor"/>
      </rPr>
      <t xml:space="preserve">
No clear seasonal trend was observed due to the short duration 
(one month), but certain days showed higher activity, indicating potential 
customer buying behavior near the month-end.</t>
    </r>
  </si>
  <si>
    <t>Question1- Data Cleaning and Transformation</t>
  </si>
  <si>
    <t>Question2- PivotTable Analysis</t>
  </si>
  <si>
    <r>
      <t xml:space="preserve">So the region with the highest revenue is </t>
    </r>
    <r>
      <rPr>
        <b/>
        <sz val="11"/>
        <color theme="1"/>
        <rFont val="Arial"/>
        <family val="2"/>
        <scheme val="minor"/>
      </rPr>
      <t>NORTH</t>
    </r>
    <r>
      <rPr>
        <sz val="10"/>
        <color rgb="FF000000"/>
        <rFont val="Arial"/>
        <scheme val="minor"/>
      </rPr>
      <t xml:space="preserve">, with a total of </t>
    </r>
    <r>
      <rPr>
        <b/>
        <sz val="11"/>
        <color theme="1"/>
        <rFont val="Arial"/>
        <family val="2"/>
        <scheme val="minor"/>
      </rPr>
      <t>₹137,700</t>
    </r>
    <r>
      <rPr>
        <sz val="10"/>
        <color rgb="FF000000"/>
        <rFont val="Arial"/>
        <scheme val="minor"/>
      </rPr>
      <t>.</t>
    </r>
  </si>
  <si>
    <r>
      <t xml:space="preserve">This step involved the data cleaning and transformation of the sales dataset in preparation for analysis.
First, missing values (NULLs) in </t>
    </r>
    <r>
      <rPr>
        <b/>
        <sz val="11"/>
        <color theme="1"/>
        <rFont val="Arial"/>
        <family val="2"/>
        <scheme val="minor"/>
      </rPr>
      <t>Quantity</t>
    </r>
    <r>
      <rPr>
        <sz val="10"/>
        <color rgb="FF000000"/>
        <rFont val="Arial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Price_Per_Unit,</t>
    </r>
    <r>
      <rPr>
        <sz val="10"/>
        <color rgb="FF000000"/>
        <rFont val="Arial"/>
        <scheme val="minor"/>
      </rPr>
      <t xml:space="preserve"> and </t>
    </r>
    <r>
      <rPr>
        <b/>
        <sz val="11"/>
        <color theme="1"/>
        <rFont val="Arial"/>
        <family val="2"/>
        <scheme val="minor"/>
      </rPr>
      <t>Total_Amount columns</t>
    </r>
    <r>
      <rPr>
        <sz val="10"/>
        <color rgb="FF000000"/>
        <rFont val="Arial"/>
        <scheme val="minor"/>
      </rPr>
      <t xml:space="preserve"> were spotted with the help of </t>
    </r>
    <r>
      <rPr>
        <b/>
        <sz val="11"/>
        <color theme="1"/>
        <rFont val="Arial"/>
        <family val="2"/>
        <scheme val="minor"/>
      </rPr>
      <t>Conditional Formatting.</t>
    </r>
    <r>
      <rPr>
        <sz val="10"/>
        <color rgb="FF000000"/>
        <rFont val="Arial"/>
        <scheme val="minor"/>
      </rPr>
      <t xml:space="preserve">
Then, helper columns were created that filled these missing values with the rounded average of their respective columns, using Excel formulas.
As for the </t>
    </r>
    <r>
      <rPr>
        <b/>
        <sz val="11"/>
        <color theme="1"/>
        <rFont val="Arial"/>
        <family val="2"/>
        <scheme val="minor"/>
      </rPr>
      <t>Customer_Region column</t>
    </r>
    <r>
      <rPr>
        <sz val="10"/>
        <color rgb="FF000000"/>
        <rFont val="Arial"/>
        <scheme val="minor"/>
      </rPr>
      <t xml:space="preserve">, leading and trailing spaces were removed using the </t>
    </r>
    <r>
      <rPr>
        <b/>
        <sz val="11"/>
        <color theme="1"/>
        <rFont val="Arial"/>
        <family val="2"/>
        <scheme val="minor"/>
      </rPr>
      <t>TRIM() function</t>
    </r>
    <r>
      <rPr>
        <sz val="10"/>
        <color rgb="FF000000"/>
        <rFont val="Arial"/>
        <scheme val="minor"/>
      </rPr>
      <t xml:space="preserve">, ensuring that all names of the regions were in the same case with the help of the </t>
    </r>
    <r>
      <rPr>
        <b/>
        <sz val="11"/>
        <color theme="1"/>
        <rFont val="Arial"/>
        <family val="2"/>
        <scheme val="minor"/>
      </rPr>
      <t>UPPER() function.</t>
    </r>
  </si>
  <si>
    <t>Question3- VLOOKUP and INDEX / MATCH operations</t>
  </si>
  <si>
    <t>VLOOKUP FOR Order_ID = 1015</t>
  </si>
  <si>
    <t>INDEX/MATCH for Order_ID = 1027</t>
  </si>
  <si>
    <t>Using VLOOKUP for Total_Amount of Order_ID 1015</t>
  </si>
  <si>
    <t>Using INDEX/MATCH for Category of Order_ID 1027</t>
  </si>
  <si>
    <t>Comparison between VLOOKUP and INDEX/MATCH</t>
  </si>
  <si>
    <t>Feature</t>
  </si>
  <si>
    <t>VLOOKUP</t>
  </si>
  <si>
    <t>INDEX/MATCH</t>
  </si>
  <si>
    <r>
      <rPr>
        <b/>
        <sz val="11"/>
        <rFont val="Arial"/>
        <family val="2"/>
        <scheme val="minor"/>
      </rPr>
      <t>VLOOKUP</t>
    </r>
    <r>
      <rPr>
        <sz val="11"/>
        <rFont val="Arial"/>
        <family val="2"/>
        <scheme val="minor"/>
      </rPr>
      <t xml:space="preserve"> is simple and good for straightforward lookups.
</t>
    </r>
    <r>
      <rPr>
        <b/>
        <sz val="11"/>
        <rFont val="Arial"/>
        <family val="2"/>
        <scheme val="minor"/>
      </rPr>
      <t>INDEX/MATCH</t>
    </r>
    <r>
      <rPr>
        <sz val="11"/>
        <rFont val="Arial"/>
        <family val="2"/>
        <scheme val="minor"/>
      </rPr>
      <t xml:space="preserve"> is more versatile and powerful, 
especially when columns change or </t>
    </r>
    <r>
      <rPr>
        <b/>
        <sz val="11"/>
        <rFont val="Arial"/>
        <family val="2"/>
        <scheme val="minor"/>
      </rPr>
      <t>reverse lookup</t>
    </r>
    <r>
      <rPr>
        <sz val="11"/>
        <rFont val="Arial"/>
        <family val="2"/>
        <scheme val="minor"/>
      </rPr>
      <t xml:space="preserve"> is needed.</t>
    </r>
  </si>
  <si>
    <t>Lookup Direction</t>
  </si>
  <si>
    <t>Only works left to right</t>
  </si>
  <si>
    <t>Can lookup left or right</t>
  </si>
  <si>
    <t>Flexibility</t>
  </si>
  <si>
    <t>Less flexible for 
column changes</t>
  </si>
  <si>
    <t>More dynamic; works well 
with moving columns</t>
  </si>
  <si>
    <t>Speed (on large data)</t>
  </si>
  <si>
    <t>Slower</t>
  </si>
  <si>
    <t>Faster</t>
  </si>
  <si>
    <t>Syntax</t>
  </si>
  <si>
    <t>Easier to write</t>
  </si>
  <si>
    <t>Slightly more complex</t>
  </si>
  <si>
    <t>Question4- Trend Analysis</t>
  </si>
  <si>
    <t>Question5- Profit Margin Calculation</t>
  </si>
  <si>
    <t>Profit_Margin</t>
  </si>
  <si>
    <t>Calculated profit margins using a custom formula, 
highlighted high-profit items (above ₹5,000), sorted 
the data, and displayed the top 3 profitable products in a separate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</si>
</sst>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5"/>
      <color theme="1"/>
      <name val="Arial"/>
      <scheme val="minor"/>
    </font>
    <font>
      <b/>
      <sz val="14"/>
      <color theme="1"/>
      <name val="Arial"/>
      <scheme val="minor"/>
    </font>
    <font>
      <b/>
      <sz val="11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0" fillId="0" borderId="3" xfId="0" pivotButton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6" fillId="5" borderId="0" xfId="0" applyFont="1" applyFill="1"/>
    <xf numFmtId="0" fontId="0" fillId="5" borderId="0" xfId="0" applyFill="1"/>
    <xf numFmtId="0" fontId="5" fillId="5" borderId="0" xfId="0" applyFont="1" applyFill="1"/>
    <xf numFmtId="0" fontId="3" fillId="5" borderId="0" xfId="0" applyFont="1" applyFill="1"/>
    <xf numFmtId="0" fontId="9" fillId="9" borderId="1" xfId="0" applyFont="1" applyFill="1" applyBorder="1"/>
    <xf numFmtId="0" fontId="0" fillId="10" borderId="0" xfId="0" applyFill="1"/>
    <xf numFmtId="0" fontId="0" fillId="7" borderId="0" xfId="0" applyFill="1"/>
    <xf numFmtId="0" fontId="18" fillId="4" borderId="1" xfId="0" applyFont="1" applyFill="1" applyBorder="1" applyAlignment="1">
      <alignment horizontal="center"/>
    </xf>
    <xf numFmtId="0" fontId="18" fillId="4" borderId="13" xfId="0" applyFont="1" applyFill="1" applyBorder="1" applyAlignment="1">
      <alignment horizontal="center"/>
    </xf>
    <xf numFmtId="0" fontId="8" fillId="5" borderId="0" xfId="0" applyFont="1" applyFill="1"/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5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8" borderId="9" xfId="0" applyFont="1" applyFill="1" applyBorder="1"/>
    <xf numFmtId="0" fontId="3" fillId="8" borderId="2" xfId="0" applyFont="1" applyFill="1" applyBorder="1"/>
    <xf numFmtId="0" fontId="11" fillId="8" borderId="9" xfId="0" applyFont="1" applyFill="1" applyBorder="1"/>
    <xf numFmtId="0" fontId="13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9" fillId="2" borderId="11" xfId="0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14" fontId="4" fillId="4" borderId="13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14" fontId="19" fillId="2" borderId="1" xfId="0" applyNumberFormat="1" applyFont="1" applyFill="1" applyBorder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A57E7621-48C5-4B79-A558-052F2972305F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64A2"/>
          <bgColor rgb="FF8064A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E4DFEC"/>
          <bgColor rgb="FFE4DFEC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064A2"/>
          <bgColor rgb="FF8064A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Total_Amount by Customer_Region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61-4192-9B12-AFB2E78232F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61-4192-9B12-AFB2E78232F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61-4192-9B12-AFB2E78232F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61-4192-9B12-AFB2E78232FA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61-4192-9B12-AFB2E78232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0-4B45-81C0-C0D752227F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0634808"/>
        <c:axId val="285088826"/>
      </c:barChart>
      <c:catAx>
        <c:axId val="1610634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Customer_Region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88826"/>
        <c:crosses val="autoZero"/>
        <c:auto val="1"/>
        <c:lblAlgn val="ctr"/>
        <c:lblOffset val="100"/>
        <c:noMultiLvlLbl val="1"/>
      </c:catAx>
      <c:valAx>
        <c:axId val="28508882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Total_Amount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1063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Line Chart for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C-4891-9FC3-2EB5DCC615DA}"/>
            </c:ext>
          </c:extLst>
        </c:ser>
        <c:ser>
          <c:idx val="1"/>
          <c:order val="1"/>
          <c:tx>
            <c:strRef>
              <c:f>' Line Chart for Revenue Trend(T'!$C$4</c:f>
              <c:strCache>
                <c:ptCount val="1"/>
                <c:pt idx="0">
                  <c:v>Order_Date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 Line Chart for Revenue Trend(T'!$C$5:$C$34</c:f>
              <c:numCache>
                <c:formatCode>m/d/yyyy</c:formatCode>
                <c:ptCount val="30"/>
                <c:pt idx="0">
                  <c:v>45660</c:v>
                </c:pt>
                <c:pt idx="1">
                  <c:v>45691</c:v>
                </c:pt>
                <c:pt idx="2">
                  <c:v>45719</c:v>
                </c:pt>
                <c:pt idx="3">
                  <c:v>45750</c:v>
                </c:pt>
                <c:pt idx="4">
                  <c:v>45780</c:v>
                </c:pt>
                <c:pt idx="5">
                  <c:v>45811</c:v>
                </c:pt>
                <c:pt idx="6">
                  <c:v>45841</c:v>
                </c:pt>
                <c:pt idx="7">
                  <c:v>45872</c:v>
                </c:pt>
                <c:pt idx="8">
                  <c:v>45903</c:v>
                </c:pt>
                <c:pt idx="9">
                  <c:v>45933</c:v>
                </c:pt>
                <c:pt idx="10">
                  <c:v>45964</c:v>
                </c:pt>
                <c:pt idx="11">
                  <c:v>45994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C-4891-9FC3-2EB5DCC6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303759"/>
        <c:axId val="669302799"/>
      </c:lineChart>
      <c:catAx>
        <c:axId val="66930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02799"/>
        <c:crosses val="autoZero"/>
        <c:auto val="1"/>
        <c:lblAlgn val="ctr"/>
        <c:lblOffset val="100"/>
        <c:noMultiLvlLbl val="0"/>
      </c:catAx>
      <c:valAx>
        <c:axId val="6693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0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489585</xdr:colOff>
      <xdr:row>2</xdr:row>
      <xdr:rowOff>167640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31376</xdr:colOff>
      <xdr:row>7</xdr:row>
      <xdr:rowOff>0</xdr:rowOff>
    </xdr:from>
    <xdr:to>
      <xdr:col>10</xdr:col>
      <xdr:colOff>17928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4B0F5-8D0F-94C2-3EAF-6639903F9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hish Saini" refreshedDate="46193.829127083336" refreshedVersion="8" recordCount="30" xr:uid="{00000000-000A-0000-FFFF-FFFF00000000}">
  <cacheSource type="worksheet">
    <worksheetSource ref="A1:H31" sheet="Dataset"/>
  </cacheSource>
  <cacheFields count="8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d v="2025-01-03T00:00:00"/>
  </r>
  <r>
    <n v="1002"/>
    <s v="Yoga Mat"/>
    <s v="Fitness"/>
    <n v="2"/>
    <n v="800"/>
    <n v="16400"/>
    <x v="1"/>
    <d v="2025-02-03T00:00:00"/>
  </r>
  <r>
    <n v="1003"/>
    <s v="Coffee Maker"/>
    <s v="Kitchenware"/>
    <n v="1"/>
    <n v="3500"/>
    <n v="3500"/>
    <x v="2"/>
    <d v="2025-03-03T00:00:00"/>
  </r>
  <r>
    <n v="1004"/>
    <s v="Bluetooth Speaker"/>
    <s v="Electronics"/>
    <n v="4"/>
    <n v="12619"/>
    <n v="16400"/>
    <x v="3"/>
    <d v="2025-04-03T00:00:00"/>
  </r>
  <r>
    <n v="1005"/>
    <s v="Running Shoes"/>
    <s v="Footwear"/>
    <n v="2"/>
    <n v="2500"/>
    <n v="5000"/>
    <x v="0"/>
    <d v="2025-05-03T00:00:00"/>
  </r>
  <r>
    <n v="1006"/>
    <s v="Smart Watch"/>
    <s v="Electronics"/>
    <n v="2"/>
    <n v="7000"/>
    <n v="14000"/>
    <x v="4"/>
    <d v="2025-06-03T00:00:00"/>
  </r>
  <r>
    <n v="1007"/>
    <s v="Treadmill"/>
    <s v="Fitness"/>
    <n v="1"/>
    <n v="12619"/>
    <n v="16400"/>
    <x v="1"/>
    <d v="2025-07-03T00:00:00"/>
  </r>
  <r>
    <n v="1008"/>
    <s v="Air Fryer"/>
    <s v="Kitchenware"/>
    <n v="3"/>
    <n v="4500"/>
    <n v="13500"/>
    <x v="2"/>
    <d v="2025-08-03T00:00:00"/>
  </r>
  <r>
    <n v="1009"/>
    <s v="Vacuum Cleaner"/>
    <s v="Appliances"/>
    <n v="2"/>
    <n v="6000"/>
    <n v="16400"/>
    <x v="0"/>
    <d v="2025-09-03T00:00:00"/>
  </r>
  <r>
    <n v="1010"/>
    <s v="Dumbbells"/>
    <s v="Fitness"/>
    <n v="2"/>
    <n v="1500"/>
    <n v="3000"/>
    <x v="3"/>
    <d v="2025-10-03T00:00:00"/>
  </r>
  <r>
    <n v="1011"/>
    <s v="Laptop Stand"/>
    <s v="Electronics"/>
    <n v="5"/>
    <n v="12619"/>
    <n v="16400"/>
    <x v="2"/>
    <d v="2025-11-03T00:00:00"/>
  </r>
  <r>
    <n v="1012"/>
    <s v="Toaster"/>
    <s v="Kitchenware"/>
    <n v="1"/>
    <n v="2200"/>
    <n v="2200"/>
    <x v="1"/>
    <d v="2025-12-03T00:00:00"/>
  </r>
  <r>
    <n v="1013"/>
    <s v="Air Purifier"/>
    <s v="Appliances"/>
    <n v="2"/>
    <n v="12000"/>
    <n v="24000"/>
    <x v="3"/>
    <s v="13-03-2025"/>
  </r>
  <r>
    <n v="1014"/>
    <s v="Resistance Bands"/>
    <s v="Fitness"/>
    <n v="2"/>
    <n v="900"/>
    <n v="16400"/>
    <x v="0"/>
    <s v="14-03-2025"/>
  </r>
  <r>
    <n v="1015"/>
    <s v="Hair Dryer"/>
    <s v="Appliances"/>
    <n v="3"/>
    <n v="1800"/>
    <n v="5400"/>
    <x v="2"/>
    <s v="15-03-2025"/>
  </r>
  <r>
    <n v="1016"/>
    <s v="Electric Kettle"/>
    <s v="Kitchenware"/>
    <n v="2"/>
    <n v="1500"/>
    <n v="16400"/>
    <x v="1"/>
    <s v="16-03-2025"/>
  </r>
  <r>
    <n v="1017"/>
    <s v="Office Chair"/>
    <s v="Furniture"/>
    <n v="1"/>
    <n v="8000"/>
    <n v="8000"/>
    <x v="3"/>
    <s v="17-03-2025"/>
  </r>
  <r>
    <n v="1018"/>
    <s v="Adjustable Dumbbells"/>
    <s v="Fitness"/>
    <n v="2"/>
    <n v="5500"/>
    <n v="11000"/>
    <x v="0"/>
    <s v="18-03-2025"/>
  </r>
  <r>
    <n v="1019"/>
    <s v="Soundbar"/>
    <s v="Electronics"/>
    <n v="1"/>
    <n v="20000"/>
    <n v="20000"/>
    <x v="2"/>
    <s v="19-03-2025"/>
  </r>
  <r>
    <n v="1020"/>
    <s v="Yoga Block"/>
    <s v="Fitness"/>
    <n v="2"/>
    <n v="1200"/>
    <n v="16400"/>
    <x v="1"/>
    <s v="20-03-2025"/>
  </r>
  <r>
    <n v="1021"/>
    <s v="Rice Cooker"/>
    <s v="Kitchenware"/>
    <n v="2"/>
    <n v="4000"/>
    <n v="8000"/>
    <x v="3"/>
    <s v="21-03-2025"/>
  </r>
  <r>
    <n v="1022"/>
    <s v="Monitor"/>
    <s v="Electronics"/>
    <n v="2"/>
    <n v="15000"/>
    <n v="16400"/>
    <x v="0"/>
    <s v="22-03-2025"/>
  </r>
  <r>
    <n v="1023"/>
    <s v="Iron"/>
    <s v="Appliances"/>
    <n v="1"/>
    <n v="2500"/>
    <n v="2500"/>
    <x v="2"/>
    <s v="23-03-2025"/>
  </r>
  <r>
    <n v="1024"/>
    <s v="Resistance Bands"/>
    <s v="Fitness"/>
    <n v="3"/>
    <n v="12619"/>
    <n v="16400"/>
    <x v="1"/>
    <s v="24-03-2025"/>
  </r>
  <r>
    <n v="1025"/>
    <s v="Smart TV"/>
    <s v="Electronics"/>
    <n v="1"/>
    <n v="40000"/>
    <n v="40000"/>
    <x v="3"/>
    <s v="25-03-2025"/>
  </r>
  <r>
    <n v="1026"/>
    <s v="Water Bottle"/>
    <s v="Kitchenware"/>
    <n v="5"/>
    <n v="200"/>
    <n v="1000"/>
    <x v="0"/>
    <s v="26-03-2025"/>
  </r>
  <r>
    <n v="1027"/>
    <s v="Sofa Set"/>
    <s v="Furniture"/>
    <n v="1"/>
    <n v="55000"/>
    <n v="55000"/>
    <x v="2"/>
    <s v="27-03-2025"/>
  </r>
  <r>
    <n v="1028"/>
    <s v="Treadmill"/>
    <s v="Fitness"/>
    <n v="2"/>
    <n v="50000"/>
    <n v="16400"/>
    <x v="1"/>
    <s v="28-03-2025"/>
  </r>
  <r>
    <n v="1029"/>
    <s v="Microwave Oven"/>
    <s v="Appliances"/>
    <n v="2"/>
    <n v="12000"/>
    <n v="24000"/>
    <x v="3"/>
    <s v="29-03-2025"/>
  </r>
  <r>
    <n v="1030"/>
    <s v="Laptop"/>
    <s v="Electronics"/>
    <n v="1"/>
    <n v="70000"/>
    <n v="70000"/>
    <x v="0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0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8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B0FB3B-2D03-400F-AAC6-F78D4579E2B0}" name="Table5" displayName="Table5" ref="A47:H77" totalsRowShown="0" headerRowDxfId="27" dataDxfId="25" headerRowBorderDxfId="26" tableBorderDxfId="24" totalsRowBorderDxfId="23">
  <autoFilter ref="A47:H77" xr:uid="{E5B0FB3B-2D03-400F-AAC6-F78D4579E2B0}"/>
  <tableColumns count="8">
    <tableColumn id="1" xr3:uid="{89BC728C-89B6-459F-99ED-9934E520DF6F}" name="Order_ID" dataDxfId="22"/>
    <tableColumn id="2" xr3:uid="{AB06C044-D08C-4CD8-AA3B-FEC6F2485590}" name="Product" dataDxfId="21"/>
    <tableColumn id="3" xr3:uid="{6DF13BD9-FCB1-4252-994D-2D86F1A1B402}" name="Category" dataDxfId="20"/>
    <tableColumn id="4" xr3:uid="{B206299A-4573-4BE6-B9CD-01F26B4F4156}" name="Quantity" dataDxfId="19"/>
    <tableColumn id="5" xr3:uid="{7A6E83F3-870E-403A-A0FA-78E2E01F9B9E}" name="Price_Per_Unit" dataDxfId="18"/>
    <tableColumn id="6" xr3:uid="{49A1E5C0-C0B6-4993-AA7A-98FB5D2475EE}" name="Total_Amount" dataDxfId="17"/>
    <tableColumn id="7" xr3:uid="{4561A49A-41CC-4C78-BBC4-D9B89A59D461}" name="Customer_Region Uppercase" dataDxfId="1"/>
    <tableColumn id="8" xr3:uid="{877E04AF-05B8-4039-92CE-D4FD7E7BFDE1}" name="Order_Date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E49C3-7CE1-477E-873E-7023D6F2D9B3}" name="Table53" displayName="Table53" ref="B6:J36" totalsRowShown="0" headerRowDxfId="16" dataDxfId="14" headerRowBorderDxfId="15" tableBorderDxfId="13" totalsRowBorderDxfId="12">
  <autoFilter ref="B6:J36" xr:uid="{BD5E49C3-7CE1-477E-873E-7023D6F2D9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>
      <top10 val="3" filterVal="16000"/>
    </filterColumn>
  </autoFilter>
  <sortState xmlns:xlrd2="http://schemas.microsoft.com/office/spreadsheetml/2017/richdata2" ref="B7:J36">
    <sortCondition descending="1" ref="J6:J36"/>
  </sortState>
  <tableColumns count="9">
    <tableColumn id="1" xr3:uid="{A73EF4AD-20E9-4E83-A8D6-E0BB8A115074}" name="Order_ID" dataDxfId="11"/>
    <tableColumn id="2" xr3:uid="{EE8E203C-BCD8-4750-B139-A8CBB2236AFB}" name="Product" dataDxfId="10"/>
    <tableColumn id="3" xr3:uid="{A6D10188-171E-4192-9837-DF51314A7D9D}" name="Category" dataDxfId="9"/>
    <tableColumn id="4" xr3:uid="{D55ED80E-06AF-4AF0-923D-E51A5D908F9B}" name="Quantity" dataDxfId="8"/>
    <tableColumn id="5" xr3:uid="{6085B20D-BDB8-4D66-B448-940AB13F93A3}" name="Price_Per_Unit" dataDxfId="7"/>
    <tableColumn id="6" xr3:uid="{470790DB-AE02-4753-AAE5-8ADB4BB134B9}" name="Total_Amount" dataDxfId="6"/>
    <tableColumn id="7" xr3:uid="{F92FD1C0-4F7A-4A10-B5B3-F6A762A9F7A6}" name="Customer_Region Uppercase" dataDxfId="5"/>
    <tableColumn id="8" xr3:uid="{B2E29D7F-424F-4E6D-81ED-B617C984E51D}" name="Order_Date" dataDxfId="4"/>
    <tableColumn id="9" xr3:uid="{842B0439-485B-4FC6-B8B5-D53433A2DA8E}" name="Profit_Margin" dataDxfId="3">
      <calculatedColumnFormula>Table53[[#This Row],[Total_Amount]]-(Table53[[#This Row],[Quantity]]*Table53[[#This Row],[Price_Per_Unit]]*0.6)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77"/>
  <sheetViews>
    <sheetView topLeftCell="A27" zoomScale="55" zoomScaleNormal="55" workbookViewId="0">
      <selection activeCell="H47" activeCellId="1" sqref="F47:F77 H47:H77"/>
    </sheetView>
  </sheetViews>
  <sheetFormatPr defaultColWidth="12.6640625" defaultRowHeight="15.75" customHeight="1" x14ac:dyDescent="0.25"/>
  <cols>
    <col min="1" max="1" width="12.88671875" customWidth="1"/>
    <col min="2" max="2" width="20.5546875" bestFit="1" customWidth="1"/>
    <col min="3" max="3" width="13.109375" customWidth="1"/>
    <col min="5" max="5" width="19.88671875" customWidth="1"/>
    <col min="6" max="6" width="18.44140625" customWidth="1"/>
    <col min="7" max="7" width="41.21875" bestFit="1" customWidth="1"/>
    <col min="8" max="8" width="22.88671875" bestFit="1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11">
        <v>1001</v>
      </c>
      <c r="B2" s="11" t="s">
        <v>8</v>
      </c>
      <c r="C2" s="11" t="s">
        <v>9</v>
      </c>
      <c r="D2" s="11">
        <v>3</v>
      </c>
      <c r="E2" s="11">
        <v>500</v>
      </c>
      <c r="F2" s="11">
        <v>1500</v>
      </c>
      <c r="G2" s="11" t="s">
        <v>10</v>
      </c>
      <c r="H2" s="12">
        <v>45660</v>
      </c>
    </row>
    <row r="3" spans="1:8" ht="15.75" customHeight="1" x14ac:dyDescent="0.3">
      <c r="A3" s="13">
        <v>1002</v>
      </c>
      <c r="B3" s="13" t="s">
        <v>11</v>
      </c>
      <c r="C3" s="13" t="s">
        <v>12</v>
      </c>
      <c r="D3" s="13">
        <v>2</v>
      </c>
      <c r="E3" s="13">
        <v>800</v>
      </c>
      <c r="F3" s="13">
        <v>16400</v>
      </c>
      <c r="G3" s="13" t="s">
        <v>13</v>
      </c>
      <c r="H3" s="14">
        <v>45691</v>
      </c>
    </row>
    <row r="4" spans="1:8" ht="15.75" customHeight="1" x14ac:dyDescent="0.3">
      <c r="A4" s="11">
        <v>1003</v>
      </c>
      <c r="B4" s="11" t="s">
        <v>14</v>
      </c>
      <c r="C4" s="11" t="s">
        <v>15</v>
      </c>
      <c r="D4" s="11">
        <v>1</v>
      </c>
      <c r="E4" s="11">
        <v>3500</v>
      </c>
      <c r="F4" s="11">
        <v>3500</v>
      </c>
      <c r="G4" s="11" t="s">
        <v>16</v>
      </c>
      <c r="H4" s="12">
        <v>45719</v>
      </c>
    </row>
    <row r="5" spans="1:8" ht="15.75" customHeight="1" x14ac:dyDescent="0.3">
      <c r="A5" s="13">
        <v>1004</v>
      </c>
      <c r="B5" s="13" t="s">
        <v>17</v>
      </c>
      <c r="C5" s="13" t="s">
        <v>9</v>
      </c>
      <c r="D5" s="13">
        <v>4</v>
      </c>
      <c r="E5" s="13">
        <v>12619</v>
      </c>
      <c r="F5" s="13">
        <v>16400</v>
      </c>
      <c r="G5" s="13" t="s">
        <v>18</v>
      </c>
      <c r="H5" s="14">
        <v>45750</v>
      </c>
    </row>
    <row r="6" spans="1:8" ht="15.75" customHeight="1" x14ac:dyDescent="0.3">
      <c r="A6" s="11">
        <v>1005</v>
      </c>
      <c r="B6" s="11" t="s">
        <v>19</v>
      </c>
      <c r="C6" s="11" t="s">
        <v>20</v>
      </c>
      <c r="D6" s="11">
        <v>2</v>
      </c>
      <c r="E6" s="11">
        <v>2500</v>
      </c>
      <c r="F6" s="11">
        <v>5000</v>
      </c>
      <c r="G6" s="11" t="s">
        <v>10</v>
      </c>
      <c r="H6" s="12">
        <v>45780</v>
      </c>
    </row>
    <row r="7" spans="1:8" ht="15.75" customHeight="1" x14ac:dyDescent="0.3">
      <c r="A7" s="13">
        <v>1006</v>
      </c>
      <c r="B7" s="13" t="s">
        <v>21</v>
      </c>
      <c r="C7" s="13" t="s">
        <v>9</v>
      </c>
      <c r="D7" s="13">
        <v>2</v>
      </c>
      <c r="E7" s="13">
        <v>7000</v>
      </c>
      <c r="F7" s="13">
        <v>14000</v>
      </c>
      <c r="G7" s="13" t="s">
        <v>22</v>
      </c>
      <c r="H7" s="14">
        <v>45811</v>
      </c>
    </row>
    <row r="8" spans="1:8" ht="15.75" customHeight="1" x14ac:dyDescent="0.3">
      <c r="A8" s="11">
        <v>1007</v>
      </c>
      <c r="B8" s="11" t="s">
        <v>23</v>
      </c>
      <c r="C8" s="11" t="s">
        <v>12</v>
      </c>
      <c r="D8" s="11">
        <v>1</v>
      </c>
      <c r="E8" s="11">
        <v>12619</v>
      </c>
      <c r="F8" s="11">
        <v>16400</v>
      </c>
      <c r="G8" s="11" t="s">
        <v>13</v>
      </c>
      <c r="H8" s="12">
        <v>45841</v>
      </c>
    </row>
    <row r="9" spans="1:8" ht="15.75" customHeight="1" x14ac:dyDescent="0.3">
      <c r="A9" s="13">
        <v>1008</v>
      </c>
      <c r="B9" s="13" t="s">
        <v>24</v>
      </c>
      <c r="C9" s="13" t="s">
        <v>15</v>
      </c>
      <c r="D9" s="13">
        <v>3</v>
      </c>
      <c r="E9" s="13">
        <v>4500</v>
      </c>
      <c r="F9" s="13">
        <v>13500</v>
      </c>
      <c r="G9" s="13" t="s">
        <v>16</v>
      </c>
      <c r="H9" s="14">
        <v>45872</v>
      </c>
    </row>
    <row r="10" spans="1:8" ht="15.75" customHeight="1" x14ac:dyDescent="0.3">
      <c r="A10" s="11">
        <v>1009</v>
      </c>
      <c r="B10" s="11" t="s">
        <v>25</v>
      </c>
      <c r="C10" s="11" t="s">
        <v>26</v>
      </c>
      <c r="D10" s="11">
        <v>2</v>
      </c>
      <c r="E10" s="11">
        <v>6000</v>
      </c>
      <c r="F10" s="11">
        <v>16400</v>
      </c>
      <c r="G10" s="11" t="s">
        <v>10</v>
      </c>
      <c r="H10" s="12">
        <v>45903</v>
      </c>
    </row>
    <row r="11" spans="1:8" ht="15.75" customHeight="1" x14ac:dyDescent="0.3">
      <c r="A11" s="13">
        <v>1010</v>
      </c>
      <c r="B11" s="13" t="s">
        <v>27</v>
      </c>
      <c r="C11" s="13" t="s">
        <v>12</v>
      </c>
      <c r="D11" s="13">
        <v>2</v>
      </c>
      <c r="E11" s="13">
        <v>1500</v>
      </c>
      <c r="F11" s="13">
        <v>3000</v>
      </c>
      <c r="G11" s="13" t="s">
        <v>18</v>
      </c>
      <c r="H11" s="14">
        <v>45933</v>
      </c>
    </row>
    <row r="12" spans="1:8" ht="15.75" customHeight="1" x14ac:dyDescent="0.3">
      <c r="A12" s="11">
        <v>1011</v>
      </c>
      <c r="B12" s="11" t="s">
        <v>28</v>
      </c>
      <c r="C12" s="11" t="s">
        <v>9</v>
      </c>
      <c r="D12" s="11">
        <v>5</v>
      </c>
      <c r="E12" s="11">
        <v>12619</v>
      </c>
      <c r="F12" s="11">
        <v>16400</v>
      </c>
      <c r="G12" s="11" t="s">
        <v>16</v>
      </c>
      <c r="H12" s="12">
        <v>45964</v>
      </c>
    </row>
    <row r="13" spans="1:8" ht="15.75" customHeight="1" x14ac:dyDescent="0.3">
      <c r="A13" s="13">
        <v>1012</v>
      </c>
      <c r="B13" s="13" t="s">
        <v>29</v>
      </c>
      <c r="C13" s="13" t="s">
        <v>15</v>
      </c>
      <c r="D13" s="13">
        <v>1</v>
      </c>
      <c r="E13" s="13">
        <v>2200</v>
      </c>
      <c r="F13" s="13">
        <v>2200</v>
      </c>
      <c r="G13" s="13" t="s">
        <v>13</v>
      </c>
      <c r="H13" s="14">
        <v>45994</v>
      </c>
    </row>
    <row r="14" spans="1:8" ht="15.75" customHeight="1" x14ac:dyDescent="0.3">
      <c r="A14" s="11">
        <v>1013</v>
      </c>
      <c r="B14" s="11" t="s">
        <v>30</v>
      </c>
      <c r="C14" s="11" t="s">
        <v>26</v>
      </c>
      <c r="D14" s="11">
        <v>2</v>
      </c>
      <c r="E14" s="11">
        <v>12000</v>
      </c>
      <c r="F14" s="11">
        <v>24000</v>
      </c>
      <c r="G14" s="11" t="s">
        <v>18</v>
      </c>
      <c r="H14" s="11" t="s">
        <v>31</v>
      </c>
    </row>
    <row r="15" spans="1:8" ht="15.75" customHeight="1" x14ac:dyDescent="0.3">
      <c r="A15" s="13">
        <v>1014</v>
      </c>
      <c r="B15" s="13" t="s">
        <v>32</v>
      </c>
      <c r="C15" s="13" t="s">
        <v>12</v>
      </c>
      <c r="D15" s="13">
        <v>2</v>
      </c>
      <c r="E15" s="13">
        <v>900</v>
      </c>
      <c r="F15" s="13">
        <v>16400</v>
      </c>
      <c r="G15" s="13" t="s">
        <v>10</v>
      </c>
      <c r="H15" s="13" t="s">
        <v>33</v>
      </c>
    </row>
    <row r="16" spans="1:8" ht="15.75" customHeight="1" x14ac:dyDescent="0.3">
      <c r="A16" s="11">
        <v>1015</v>
      </c>
      <c r="B16" s="11" t="s">
        <v>34</v>
      </c>
      <c r="C16" s="11" t="s">
        <v>26</v>
      </c>
      <c r="D16" s="11">
        <v>3</v>
      </c>
      <c r="E16" s="11">
        <v>1800</v>
      </c>
      <c r="F16" s="11">
        <v>5400</v>
      </c>
      <c r="G16" s="11" t="s">
        <v>16</v>
      </c>
      <c r="H16" s="11" t="s">
        <v>35</v>
      </c>
    </row>
    <row r="17" spans="1:8" ht="15.75" customHeight="1" x14ac:dyDescent="0.3">
      <c r="A17" s="13">
        <v>1016</v>
      </c>
      <c r="B17" s="13" t="s">
        <v>36</v>
      </c>
      <c r="C17" s="13" t="s">
        <v>15</v>
      </c>
      <c r="D17" s="13">
        <v>2</v>
      </c>
      <c r="E17" s="13">
        <v>1500</v>
      </c>
      <c r="F17" s="13">
        <v>16400</v>
      </c>
      <c r="G17" s="13" t="s">
        <v>13</v>
      </c>
      <c r="H17" s="13" t="s">
        <v>37</v>
      </c>
    </row>
    <row r="18" spans="1:8" ht="15.75" customHeight="1" x14ac:dyDescent="0.3">
      <c r="A18" s="11">
        <v>1017</v>
      </c>
      <c r="B18" s="11" t="s">
        <v>38</v>
      </c>
      <c r="C18" s="11" t="s">
        <v>39</v>
      </c>
      <c r="D18" s="11">
        <v>1</v>
      </c>
      <c r="E18" s="11">
        <v>8000</v>
      </c>
      <c r="F18" s="11">
        <v>8000</v>
      </c>
      <c r="G18" s="11" t="s">
        <v>18</v>
      </c>
      <c r="H18" s="11" t="s">
        <v>40</v>
      </c>
    </row>
    <row r="19" spans="1:8" ht="15.75" customHeight="1" x14ac:dyDescent="0.3">
      <c r="A19" s="13">
        <v>1018</v>
      </c>
      <c r="B19" s="13" t="s">
        <v>41</v>
      </c>
      <c r="C19" s="13" t="s">
        <v>12</v>
      </c>
      <c r="D19" s="13">
        <v>2</v>
      </c>
      <c r="E19" s="13">
        <v>5500</v>
      </c>
      <c r="F19" s="13">
        <v>11000</v>
      </c>
      <c r="G19" s="13" t="s">
        <v>10</v>
      </c>
      <c r="H19" s="13" t="s">
        <v>42</v>
      </c>
    </row>
    <row r="20" spans="1:8" ht="15.75" customHeight="1" x14ac:dyDescent="0.3">
      <c r="A20" s="11">
        <v>1019</v>
      </c>
      <c r="B20" s="11" t="s">
        <v>43</v>
      </c>
      <c r="C20" s="11" t="s">
        <v>9</v>
      </c>
      <c r="D20" s="11">
        <v>1</v>
      </c>
      <c r="E20" s="11">
        <v>20000</v>
      </c>
      <c r="F20" s="11">
        <v>20000</v>
      </c>
      <c r="G20" s="11" t="s">
        <v>16</v>
      </c>
      <c r="H20" s="11" t="s">
        <v>44</v>
      </c>
    </row>
    <row r="21" spans="1:8" ht="15.75" customHeight="1" x14ac:dyDescent="0.3">
      <c r="A21" s="13">
        <v>1020</v>
      </c>
      <c r="B21" s="13" t="s">
        <v>45</v>
      </c>
      <c r="C21" s="13" t="s">
        <v>12</v>
      </c>
      <c r="D21" s="13">
        <v>2</v>
      </c>
      <c r="E21" s="13">
        <v>1200</v>
      </c>
      <c r="F21" s="13">
        <v>16400</v>
      </c>
      <c r="G21" s="13" t="s">
        <v>13</v>
      </c>
      <c r="H21" s="13" t="s">
        <v>46</v>
      </c>
    </row>
    <row r="22" spans="1:8" ht="15.75" customHeight="1" x14ac:dyDescent="0.3">
      <c r="A22" s="11">
        <v>1021</v>
      </c>
      <c r="B22" s="11" t="s">
        <v>47</v>
      </c>
      <c r="C22" s="11" t="s">
        <v>15</v>
      </c>
      <c r="D22" s="11">
        <v>2</v>
      </c>
      <c r="E22" s="11">
        <v>4000</v>
      </c>
      <c r="F22" s="11">
        <v>8000</v>
      </c>
      <c r="G22" s="11" t="s">
        <v>18</v>
      </c>
      <c r="H22" s="11" t="s">
        <v>48</v>
      </c>
    </row>
    <row r="23" spans="1:8" ht="15.75" customHeight="1" x14ac:dyDescent="0.3">
      <c r="A23" s="13">
        <v>1022</v>
      </c>
      <c r="B23" s="13" t="s">
        <v>49</v>
      </c>
      <c r="C23" s="13" t="s">
        <v>9</v>
      </c>
      <c r="D23" s="13">
        <v>2</v>
      </c>
      <c r="E23" s="13">
        <v>15000</v>
      </c>
      <c r="F23" s="13">
        <v>16400</v>
      </c>
      <c r="G23" s="13" t="s">
        <v>10</v>
      </c>
      <c r="H23" s="13" t="s">
        <v>50</v>
      </c>
    </row>
    <row r="24" spans="1:8" ht="15.75" customHeight="1" x14ac:dyDescent="0.3">
      <c r="A24" s="11">
        <v>1023</v>
      </c>
      <c r="B24" s="11" t="s">
        <v>51</v>
      </c>
      <c r="C24" s="11" t="s">
        <v>26</v>
      </c>
      <c r="D24" s="11">
        <v>1</v>
      </c>
      <c r="E24" s="11">
        <v>2500</v>
      </c>
      <c r="F24" s="11">
        <v>2500</v>
      </c>
      <c r="G24" s="11" t="s">
        <v>16</v>
      </c>
      <c r="H24" s="11" t="s">
        <v>52</v>
      </c>
    </row>
    <row r="25" spans="1:8" ht="15.75" customHeight="1" x14ac:dyDescent="0.3">
      <c r="A25" s="13">
        <v>1024</v>
      </c>
      <c r="B25" s="13" t="s">
        <v>32</v>
      </c>
      <c r="C25" s="13" t="s">
        <v>12</v>
      </c>
      <c r="D25" s="13">
        <v>3</v>
      </c>
      <c r="E25" s="13">
        <v>12619</v>
      </c>
      <c r="F25" s="13">
        <v>16400</v>
      </c>
      <c r="G25" s="13" t="s">
        <v>13</v>
      </c>
      <c r="H25" s="13" t="s">
        <v>53</v>
      </c>
    </row>
    <row r="26" spans="1:8" ht="15.75" customHeight="1" x14ac:dyDescent="0.3">
      <c r="A26" s="11">
        <v>1025</v>
      </c>
      <c r="B26" s="11" t="s">
        <v>54</v>
      </c>
      <c r="C26" s="11" t="s">
        <v>9</v>
      </c>
      <c r="D26" s="11">
        <v>1</v>
      </c>
      <c r="E26" s="11">
        <v>40000</v>
      </c>
      <c r="F26" s="11">
        <v>40000</v>
      </c>
      <c r="G26" s="11" t="s">
        <v>18</v>
      </c>
      <c r="H26" s="11" t="s">
        <v>55</v>
      </c>
    </row>
    <row r="27" spans="1:8" ht="15.75" customHeight="1" x14ac:dyDescent="0.3">
      <c r="A27" s="13">
        <v>1026</v>
      </c>
      <c r="B27" s="13" t="s">
        <v>56</v>
      </c>
      <c r="C27" s="13" t="s">
        <v>15</v>
      </c>
      <c r="D27" s="13">
        <v>5</v>
      </c>
      <c r="E27" s="13">
        <v>200</v>
      </c>
      <c r="F27" s="13">
        <v>1000</v>
      </c>
      <c r="G27" s="13" t="s">
        <v>10</v>
      </c>
      <c r="H27" s="13" t="s">
        <v>57</v>
      </c>
    </row>
    <row r="28" spans="1:8" ht="15.75" customHeight="1" x14ac:dyDescent="0.3">
      <c r="A28" s="11">
        <v>1027</v>
      </c>
      <c r="B28" s="11" t="s">
        <v>58</v>
      </c>
      <c r="C28" s="11" t="s">
        <v>39</v>
      </c>
      <c r="D28" s="11">
        <v>1</v>
      </c>
      <c r="E28" s="11">
        <v>55000</v>
      </c>
      <c r="F28" s="11">
        <v>55000</v>
      </c>
      <c r="G28" s="11" t="s">
        <v>16</v>
      </c>
      <c r="H28" s="11" t="s">
        <v>59</v>
      </c>
    </row>
    <row r="29" spans="1:8" ht="15.75" customHeight="1" x14ac:dyDescent="0.3">
      <c r="A29" s="13">
        <v>1028</v>
      </c>
      <c r="B29" s="13" t="s">
        <v>23</v>
      </c>
      <c r="C29" s="13" t="s">
        <v>12</v>
      </c>
      <c r="D29" s="13">
        <v>2</v>
      </c>
      <c r="E29" s="13">
        <v>50000</v>
      </c>
      <c r="F29" s="13">
        <v>16400</v>
      </c>
      <c r="G29" s="13" t="s">
        <v>13</v>
      </c>
      <c r="H29" s="13" t="s">
        <v>60</v>
      </c>
    </row>
    <row r="30" spans="1:8" ht="15.75" customHeight="1" x14ac:dyDescent="0.3">
      <c r="A30" s="11">
        <v>1029</v>
      </c>
      <c r="B30" s="11" t="s">
        <v>61</v>
      </c>
      <c r="C30" s="11" t="s">
        <v>26</v>
      </c>
      <c r="D30" s="11">
        <v>2</v>
      </c>
      <c r="E30" s="11">
        <v>12000</v>
      </c>
      <c r="F30" s="11">
        <v>24000</v>
      </c>
      <c r="G30" s="11" t="s">
        <v>18</v>
      </c>
      <c r="H30" s="11" t="s">
        <v>62</v>
      </c>
    </row>
    <row r="31" spans="1:8" ht="15.75" customHeight="1" x14ac:dyDescent="0.3">
      <c r="A31" s="13">
        <v>1030</v>
      </c>
      <c r="B31" s="13" t="s">
        <v>63</v>
      </c>
      <c r="C31" s="13" t="s">
        <v>9</v>
      </c>
      <c r="D31" s="13">
        <v>1</v>
      </c>
      <c r="E31" s="13">
        <v>70000</v>
      </c>
      <c r="F31" s="13">
        <v>70000</v>
      </c>
      <c r="G31" s="13" t="s">
        <v>10</v>
      </c>
      <c r="H31" s="13" t="s">
        <v>64</v>
      </c>
    </row>
    <row r="42" spans="1:8" s="35" customFormat="1" ht="24.6" x14ac:dyDescent="0.4">
      <c r="A42" s="27"/>
      <c r="B42" s="27"/>
      <c r="C42" s="27"/>
      <c r="D42" s="35" t="s">
        <v>77</v>
      </c>
    </row>
    <row r="47" spans="1:8" ht="15.75" customHeight="1" x14ac:dyDescent="0.3">
      <c r="A47" s="15" t="s">
        <v>0</v>
      </c>
      <c r="B47" s="16" t="s">
        <v>1</v>
      </c>
      <c r="C47" s="16" t="s">
        <v>2</v>
      </c>
      <c r="D47" s="16" t="s">
        <v>3</v>
      </c>
      <c r="E47" s="16" t="s">
        <v>4</v>
      </c>
      <c r="F47" s="56" t="s">
        <v>5</v>
      </c>
      <c r="G47" s="16" t="s">
        <v>71</v>
      </c>
      <c r="H47" s="57" t="s">
        <v>7</v>
      </c>
    </row>
    <row r="48" spans="1:8" ht="15.75" customHeight="1" x14ac:dyDescent="0.3">
      <c r="A48" s="17">
        <v>1001</v>
      </c>
      <c r="B48" s="11" t="s">
        <v>8</v>
      </c>
      <c r="C48" s="11" t="s">
        <v>9</v>
      </c>
      <c r="D48" s="11">
        <v>3</v>
      </c>
      <c r="E48" s="11">
        <v>500</v>
      </c>
      <c r="F48" s="11">
        <v>1500</v>
      </c>
      <c r="G48" s="11" t="s">
        <v>72</v>
      </c>
      <c r="H48" s="58">
        <v>45660</v>
      </c>
    </row>
    <row r="49" spans="1:18" ht="15.75" customHeight="1" x14ac:dyDescent="0.3">
      <c r="A49" s="18">
        <v>1002</v>
      </c>
      <c r="B49" s="13" t="s">
        <v>11</v>
      </c>
      <c r="C49" s="13" t="s">
        <v>12</v>
      </c>
      <c r="D49" s="13">
        <v>2</v>
      </c>
      <c r="E49" s="13">
        <v>800</v>
      </c>
      <c r="F49" s="13">
        <v>16400</v>
      </c>
      <c r="G49" s="13" t="s">
        <v>73</v>
      </c>
      <c r="H49" s="59">
        <v>45691</v>
      </c>
    </row>
    <row r="50" spans="1:18" ht="15.75" customHeight="1" x14ac:dyDescent="0.3">
      <c r="A50" s="17">
        <v>1003</v>
      </c>
      <c r="B50" s="11" t="s">
        <v>14</v>
      </c>
      <c r="C50" s="11" t="s">
        <v>15</v>
      </c>
      <c r="D50" s="11">
        <v>1</v>
      </c>
      <c r="E50" s="11">
        <v>3500</v>
      </c>
      <c r="F50" s="11">
        <v>3500</v>
      </c>
      <c r="G50" s="11" t="s">
        <v>74</v>
      </c>
      <c r="H50" s="58">
        <v>45719</v>
      </c>
    </row>
    <row r="51" spans="1:18" ht="15.75" customHeight="1" x14ac:dyDescent="0.3">
      <c r="A51" s="18">
        <v>1004</v>
      </c>
      <c r="B51" s="13" t="s">
        <v>17</v>
      </c>
      <c r="C51" s="13" t="s">
        <v>9</v>
      </c>
      <c r="D51" s="13">
        <v>4</v>
      </c>
      <c r="E51" s="13">
        <v>12619</v>
      </c>
      <c r="F51" s="13">
        <v>16400</v>
      </c>
      <c r="G51" s="13" t="s">
        <v>75</v>
      </c>
      <c r="H51" s="59">
        <v>45750</v>
      </c>
    </row>
    <row r="52" spans="1:18" ht="15.75" customHeight="1" x14ac:dyDescent="0.3">
      <c r="A52" s="17">
        <v>1005</v>
      </c>
      <c r="B52" s="11" t="s">
        <v>19</v>
      </c>
      <c r="C52" s="11" t="s">
        <v>20</v>
      </c>
      <c r="D52" s="11">
        <v>2</v>
      </c>
      <c r="E52" s="11">
        <v>2500</v>
      </c>
      <c r="F52" s="11">
        <v>5000</v>
      </c>
      <c r="G52" s="11" t="s">
        <v>72</v>
      </c>
      <c r="H52" s="58">
        <v>45780</v>
      </c>
      <c r="J52" s="36" t="s">
        <v>80</v>
      </c>
      <c r="K52" s="36"/>
      <c r="L52" s="36"/>
      <c r="M52" s="36"/>
      <c r="N52" s="36"/>
      <c r="O52" s="36"/>
      <c r="P52" s="36"/>
      <c r="Q52" s="36"/>
      <c r="R52" s="36"/>
    </row>
    <row r="53" spans="1:18" ht="15.75" customHeight="1" x14ac:dyDescent="0.3">
      <c r="A53" s="18">
        <v>1006</v>
      </c>
      <c r="B53" s="13" t="s">
        <v>21</v>
      </c>
      <c r="C53" s="13" t="s">
        <v>9</v>
      </c>
      <c r="D53" s="13">
        <v>2</v>
      </c>
      <c r="E53" s="13">
        <v>7000</v>
      </c>
      <c r="F53" s="13">
        <v>14000</v>
      </c>
      <c r="G53" s="13" t="s">
        <v>22</v>
      </c>
      <c r="H53" s="59">
        <v>45811</v>
      </c>
      <c r="J53" s="36"/>
      <c r="K53" s="36"/>
      <c r="L53" s="36"/>
      <c r="M53" s="36"/>
      <c r="N53" s="36"/>
      <c r="O53" s="36"/>
      <c r="P53" s="36"/>
      <c r="Q53" s="36"/>
      <c r="R53" s="36"/>
    </row>
    <row r="54" spans="1:18" ht="15.75" customHeight="1" x14ac:dyDescent="0.3">
      <c r="A54" s="17">
        <v>1007</v>
      </c>
      <c r="B54" s="11" t="s">
        <v>23</v>
      </c>
      <c r="C54" s="11" t="s">
        <v>12</v>
      </c>
      <c r="D54" s="11">
        <v>1</v>
      </c>
      <c r="E54" s="11">
        <v>12619</v>
      </c>
      <c r="F54" s="11">
        <v>16400</v>
      </c>
      <c r="G54" s="11" t="s">
        <v>73</v>
      </c>
      <c r="H54" s="58">
        <v>45841</v>
      </c>
      <c r="J54" s="36"/>
      <c r="K54" s="36"/>
      <c r="L54" s="36"/>
      <c r="M54" s="36"/>
      <c r="N54" s="36"/>
      <c r="O54" s="36"/>
      <c r="P54" s="36"/>
      <c r="Q54" s="36"/>
      <c r="R54" s="36"/>
    </row>
    <row r="55" spans="1:18" ht="15.75" customHeight="1" x14ac:dyDescent="0.3">
      <c r="A55" s="18">
        <v>1008</v>
      </c>
      <c r="B55" s="13" t="s">
        <v>24</v>
      </c>
      <c r="C55" s="13" t="s">
        <v>15</v>
      </c>
      <c r="D55" s="13">
        <v>3</v>
      </c>
      <c r="E55" s="13">
        <v>4500</v>
      </c>
      <c r="F55" s="13">
        <v>13500</v>
      </c>
      <c r="G55" s="13" t="s">
        <v>74</v>
      </c>
      <c r="H55" s="59">
        <v>45872</v>
      </c>
      <c r="J55" s="36"/>
      <c r="K55" s="36"/>
      <c r="L55" s="36"/>
      <c r="M55" s="36"/>
      <c r="N55" s="36"/>
      <c r="O55" s="36"/>
      <c r="P55" s="36"/>
      <c r="Q55" s="36"/>
      <c r="R55" s="36"/>
    </row>
    <row r="56" spans="1:18" ht="15.75" customHeight="1" x14ac:dyDescent="0.3">
      <c r="A56" s="17">
        <v>1009</v>
      </c>
      <c r="B56" s="11" t="s">
        <v>25</v>
      </c>
      <c r="C56" s="11" t="s">
        <v>26</v>
      </c>
      <c r="D56" s="11">
        <v>2</v>
      </c>
      <c r="E56" s="11">
        <v>6000</v>
      </c>
      <c r="F56" s="11">
        <v>16400</v>
      </c>
      <c r="G56" s="11" t="s">
        <v>72</v>
      </c>
      <c r="H56" s="58">
        <v>45903</v>
      </c>
      <c r="J56" s="36"/>
      <c r="K56" s="36"/>
      <c r="L56" s="36"/>
      <c r="M56" s="36"/>
      <c r="N56" s="36"/>
      <c r="O56" s="36"/>
      <c r="P56" s="36"/>
      <c r="Q56" s="36"/>
      <c r="R56" s="36"/>
    </row>
    <row r="57" spans="1:18" ht="15.75" customHeight="1" x14ac:dyDescent="0.3">
      <c r="A57" s="18">
        <v>1010</v>
      </c>
      <c r="B57" s="13" t="s">
        <v>27</v>
      </c>
      <c r="C57" s="13" t="s">
        <v>12</v>
      </c>
      <c r="D57" s="13">
        <v>2</v>
      </c>
      <c r="E57" s="13">
        <v>1500</v>
      </c>
      <c r="F57" s="13">
        <v>3000</v>
      </c>
      <c r="G57" s="13" t="s">
        <v>75</v>
      </c>
      <c r="H57" s="59">
        <v>45933</v>
      </c>
      <c r="J57" s="36"/>
      <c r="K57" s="36"/>
      <c r="L57" s="36"/>
      <c r="M57" s="36"/>
      <c r="N57" s="36"/>
      <c r="O57" s="36"/>
      <c r="P57" s="36"/>
      <c r="Q57" s="36"/>
      <c r="R57" s="36"/>
    </row>
    <row r="58" spans="1:18" ht="15.75" customHeight="1" x14ac:dyDescent="0.3">
      <c r="A58" s="17">
        <v>1011</v>
      </c>
      <c r="B58" s="11" t="s">
        <v>28</v>
      </c>
      <c r="C58" s="11" t="s">
        <v>9</v>
      </c>
      <c r="D58" s="11">
        <v>5</v>
      </c>
      <c r="E58" s="11">
        <v>12619</v>
      </c>
      <c r="F58" s="11">
        <v>16400</v>
      </c>
      <c r="G58" s="11" t="s">
        <v>74</v>
      </c>
      <c r="H58" s="58">
        <v>45964</v>
      </c>
      <c r="J58" s="36"/>
      <c r="K58" s="36"/>
      <c r="L58" s="36"/>
      <c r="M58" s="36"/>
      <c r="N58" s="36"/>
      <c r="O58" s="36"/>
      <c r="P58" s="36"/>
      <c r="Q58" s="36"/>
      <c r="R58" s="36"/>
    </row>
    <row r="59" spans="1:18" ht="15.75" customHeight="1" x14ac:dyDescent="0.3">
      <c r="A59" s="18">
        <v>1012</v>
      </c>
      <c r="B59" s="13" t="s">
        <v>29</v>
      </c>
      <c r="C59" s="13" t="s">
        <v>15</v>
      </c>
      <c r="D59" s="13">
        <v>1</v>
      </c>
      <c r="E59" s="13">
        <v>2200</v>
      </c>
      <c r="F59" s="13">
        <v>2200</v>
      </c>
      <c r="G59" s="13" t="s">
        <v>73</v>
      </c>
      <c r="H59" s="59">
        <v>45994</v>
      </c>
      <c r="J59" s="36"/>
      <c r="K59" s="36"/>
      <c r="L59" s="36"/>
      <c r="M59" s="36"/>
      <c r="N59" s="36"/>
      <c r="O59" s="36"/>
      <c r="P59" s="36"/>
      <c r="Q59" s="36"/>
      <c r="R59" s="36"/>
    </row>
    <row r="60" spans="1:18" ht="15.75" customHeight="1" x14ac:dyDescent="0.3">
      <c r="A60" s="17">
        <v>1013</v>
      </c>
      <c r="B60" s="11" t="s">
        <v>30</v>
      </c>
      <c r="C60" s="11" t="s">
        <v>26</v>
      </c>
      <c r="D60" s="11">
        <v>2</v>
      </c>
      <c r="E60" s="11">
        <v>12000</v>
      </c>
      <c r="F60" s="11">
        <v>24000</v>
      </c>
      <c r="G60" s="11" t="s">
        <v>75</v>
      </c>
      <c r="H60" s="58">
        <v>45729</v>
      </c>
      <c r="J60" s="36"/>
      <c r="K60" s="36"/>
      <c r="L60" s="36"/>
      <c r="M60" s="36"/>
      <c r="N60" s="36"/>
      <c r="O60" s="36"/>
      <c r="P60" s="36"/>
      <c r="Q60" s="36"/>
      <c r="R60" s="36"/>
    </row>
    <row r="61" spans="1:18" ht="15.75" customHeight="1" x14ac:dyDescent="0.3">
      <c r="A61" s="18">
        <v>1014</v>
      </c>
      <c r="B61" s="13" t="s">
        <v>32</v>
      </c>
      <c r="C61" s="13" t="s">
        <v>12</v>
      </c>
      <c r="D61" s="13">
        <v>2</v>
      </c>
      <c r="E61" s="13">
        <v>900</v>
      </c>
      <c r="F61" s="13">
        <v>16400</v>
      </c>
      <c r="G61" s="13" t="s">
        <v>72</v>
      </c>
      <c r="H61" s="59">
        <v>45730</v>
      </c>
    </row>
    <row r="62" spans="1:18" ht="15.75" customHeight="1" x14ac:dyDescent="0.3">
      <c r="A62" s="17">
        <v>1015</v>
      </c>
      <c r="B62" s="11" t="s">
        <v>34</v>
      </c>
      <c r="C62" s="11" t="s">
        <v>26</v>
      </c>
      <c r="D62" s="11">
        <v>3</v>
      </c>
      <c r="E62" s="11">
        <v>1800</v>
      </c>
      <c r="F62" s="11">
        <v>5400</v>
      </c>
      <c r="G62" s="11" t="s">
        <v>74</v>
      </c>
      <c r="H62" s="58">
        <v>45731</v>
      </c>
    </row>
    <row r="63" spans="1:18" ht="15.75" customHeight="1" x14ac:dyDescent="0.3">
      <c r="A63" s="18">
        <v>1016</v>
      </c>
      <c r="B63" s="13" t="s">
        <v>36</v>
      </c>
      <c r="C63" s="13" t="s">
        <v>15</v>
      </c>
      <c r="D63" s="13">
        <v>2</v>
      </c>
      <c r="E63" s="13">
        <v>1500</v>
      </c>
      <c r="F63" s="13">
        <v>16400</v>
      </c>
      <c r="G63" s="13" t="s">
        <v>73</v>
      </c>
      <c r="H63" s="59">
        <v>45732</v>
      </c>
    </row>
    <row r="64" spans="1:18" ht="15.75" customHeight="1" x14ac:dyDescent="0.3">
      <c r="A64" s="17">
        <v>1017</v>
      </c>
      <c r="B64" s="11" t="s">
        <v>38</v>
      </c>
      <c r="C64" s="11" t="s">
        <v>39</v>
      </c>
      <c r="D64" s="11">
        <v>1</v>
      </c>
      <c r="E64" s="11">
        <v>8000</v>
      </c>
      <c r="F64" s="11">
        <v>8000</v>
      </c>
      <c r="G64" s="11" t="s">
        <v>75</v>
      </c>
      <c r="H64" s="58">
        <v>45733</v>
      </c>
    </row>
    <row r="65" spans="1:8" ht="15.75" customHeight="1" x14ac:dyDescent="0.3">
      <c r="A65" s="18">
        <v>1018</v>
      </c>
      <c r="B65" s="13" t="s">
        <v>41</v>
      </c>
      <c r="C65" s="13" t="s">
        <v>12</v>
      </c>
      <c r="D65" s="13">
        <v>2</v>
      </c>
      <c r="E65" s="13">
        <v>5500</v>
      </c>
      <c r="F65" s="13">
        <v>11000</v>
      </c>
      <c r="G65" s="13" t="s">
        <v>72</v>
      </c>
      <c r="H65" s="59">
        <v>45734</v>
      </c>
    </row>
    <row r="66" spans="1:8" ht="15.75" customHeight="1" x14ac:dyDescent="0.3">
      <c r="A66" s="17">
        <v>1019</v>
      </c>
      <c r="B66" s="11" t="s">
        <v>43</v>
      </c>
      <c r="C66" s="11" t="s">
        <v>9</v>
      </c>
      <c r="D66" s="11">
        <v>1</v>
      </c>
      <c r="E66" s="11">
        <v>20000</v>
      </c>
      <c r="F66" s="11">
        <v>20000</v>
      </c>
      <c r="G66" s="11" t="s">
        <v>74</v>
      </c>
      <c r="H66" s="58">
        <v>45735</v>
      </c>
    </row>
    <row r="67" spans="1:8" ht="15.75" customHeight="1" x14ac:dyDescent="0.3">
      <c r="A67" s="18">
        <v>1020</v>
      </c>
      <c r="B67" s="13" t="s">
        <v>45</v>
      </c>
      <c r="C67" s="13" t="s">
        <v>12</v>
      </c>
      <c r="D67" s="13">
        <v>2</v>
      </c>
      <c r="E67" s="13">
        <v>1200</v>
      </c>
      <c r="F67" s="13">
        <v>16400</v>
      </c>
      <c r="G67" s="13" t="s">
        <v>73</v>
      </c>
      <c r="H67" s="59">
        <v>45736</v>
      </c>
    </row>
    <row r="68" spans="1:8" ht="15.75" customHeight="1" x14ac:dyDescent="0.3">
      <c r="A68" s="17">
        <v>1021</v>
      </c>
      <c r="B68" s="11" t="s">
        <v>47</v>
      </c>
      <c r="C68" s="11" t="s">
        <v>15</v>
      </c>
      <c r="D68" s="11">
        <v>2</v>
      </c>
      <c r="E68" s="11">
        <v>4000</v>
      </c>
      <c r="F68" s="11">
        <v>8000</v>
      </c>
      <c r="G68" s="11" t="s">
        <v>75</v>
      </c>
      <c r="H68" s="58">
        <v>45737</v>
      </c>
    </row>
    <row r="69" spans="1:8" ht="15.75" customHeight="1" x14ac:dyDescent="0.3">
      <c r="A69" s="18">
        <v>1022</v>
      </c>
      <c r="B69" s="13" t="s">
        <v>49</v>
      </c>
      <c r="C69" s="13" t="s">
        <v>9</v>
      </c>
      <c r="D69" s="13">
        <v>2</v>
      </c>
      <c r="E69" s="13">
        <v>15000</v>
      </c>
      <c r="F69" s="13">
        <v>16400</v>
      </c>
      <c r="G69" s="13" t="s">
        <v>72</v>
      </c>
      <c r="H69" s="59">
        <v>45738</v>
      </c>
    </row>
    <row r="70" spans="1:8" ht="15.75" customHeight="1" x14ac:dyDescent="0.3">
      <c r="A70" s="17">
        <v>1023</v>
      </c>
      <c r="B70" s="11" t="s">
        <v>51</v>
      </c>
      <c r="C70" s="11" t="s">
        <v>26</v>
      </c>
      <c r="D70" s="11">
        <v>1</v>
      </c>
      <c r="E70" s="11">
        <v>2500</v>
      </c>
      <c r="F70" s="11">
        <v>2500</v>
      </c>
      <c r="G70" s="11" t="s">
        <v>74</v>
      </c>
      <c r="H70" s="58">
        <v>45739</v>
      </c>
    </row>
    <row r="71" spans="1:8" ht="15.75" customHeight="1" x14ac:dyDescent="0.3">
      <c r="A71" s="18">
        <v>1024</v>
      </c>
      <c r="B71" s="13" t="s">
        <v>32</v>
      </c>
      <c r="C71" s="13" t="s">
        <v>12</v>
      </c>
      <c r="D71" s="13">
        <v>3</v>
      </c>
      <c r="E71" s="13">
        <v>12619</v>
      </c>
      <c r="F71" s="13">
        <v>16400</v>
      </c>
      <c r="G71" s="13" t="s">
        <v>73</v>
      </c>
      <c r="H71" s="59">
        <v>45740</v>
      </c>
    </row>
    <row r="72" spans="1:8" ht="15.75" customHeight="1" x14ac:dyDescent="0.3">
      <c r="A72" s="17">
        <v>1025</v>
      </c>
      <c r="B72" s="11" t="s">
        <v>54</v>
      </c>
      <c r="C72" s="11" t="s">
        <v>9</v>
      </c>
      <c r="D72" s="11">
        <v>1</v>
      </c>
      <c r="E72" s="11">
        <v>40000</v>
      </c>
      <c r="F72" s="11">
        <v>40000</v>
      </c>
      <c r="G72" s="11" t="s">
        <v>75</v>
      </c>
      <c r="H72" s="58">
        <v>45741</v>
      </c>
    </row>
    <row r="73" spans="1:8" ht="15.75" customHeight="1" x14ac:dyDescent="0.3">
      <c r="A73" s="18">
        <v>1026</v>
      </c>
      <c r="B73" s="13" t="s">
        <v>56</v>
      </c>
      <c r="C73" s="13" t="s">
        <v>15</v>
      </c>
      <c r="D73" s="13">
        <v>5</v>
      </c>
      <c r="E73" s="13">
        <v>200</v>
      </c>
      <c r="F73" s="13">
        <v>1000</v>
      </c>
      <c r="G73" s="13" t="s">
        <v>72</v>
      </c>
      <c r="H73" s="59">
        <v>45742</v>
      </c>
    </row>
    <row r="74" spans="1:8" ht="15.75" customHeight="1" x14ac:dyDescent="0.3">
      <c r="A74" s="17">
        <v>1027</v>
      </c>
      <c r="B74" s="11" t="s">
        <v>58</v>
      </c>
      <c r="C74" s="11" t="s">
        <v>39</v>
      </c>
      <c r="D74" s="11">
        <v>1</v>
      </c>
      <c r="E74" s="11">
        <v>55000</v>
      </c>
      <c r="F74" s="11">
        <v>55000</v>
      </c>
      <c r="G74" s="11" t="s">
        <v>74</v>
      </c>
      <c r="H74" s="58">
        <v>45743</v>
      </c>
    </row>
    <row r="75" spans="1:8" ht="15.75" customHeight="1" x14ac:dyDescent="0.3">
      <c r="A75" s="18">
        <v>1028</v>
      </c>
      <c r="B75" s="13" t="s">
        <v>23</v>
      </c>
      <c r="C75" s="13" t="s">
        <v>12</v>
      </c>
      <c r="D75" s="13">
        <v>2</v>
      </c>
      <c r="E75" s="13">
        <v>50000</v>
      </c>
      <c r="F75" s="13">
        <v>16400</v>
      </c>
      <c r="G75" s="13" t="s">
        <v>73</v>
      </c>
      <c r="H75" s="59">
        <v>45744</v>
      </c>
    </row>
    <row r="76" spans="1:8" ht="15.75" customHeight="1" x14ac:dyDescent="0.3">
      <c r="A76" s="17">
        <v>1029</v>
      </c>
      <c r="B76" s="11" t="s">
        <v>61</v>
      </c>
      <c r="C76" s="11" t="s">
        <v>26</v>
      </c>
      <c r="D76" s="11">
        <v>2</v>
      </c>
      <c r="E76" s="11">
        <v>12000</v>
      </c>
      <c r="F76" s="11">
        <v>24000</v>
      </c>
      <c r="G76" s="11" t="s">
        <v>75</v>
      </c>
      <c r="H76" s="58">
        <v>45745</v>
      </c>
    </row>
    <row r="77" spans="1:8" ht="15.75" customHeight="1" x14ac:dyDescent="0.3">
      <c r="A77" s="23">
        <v>1030</v>
      </c>
      <c r="B77" s="24" t="s">
        <v>63</v>
      </c>
      <c r="C77" s="24" t="s">
        <v>9</v>
      </c>
      <c r="D77" s="24">
        <v>1</v>
      </c>
      <c r="E77" s="24">
        <v>70000</v>
      </c>
      <c r="F77" s="24">
        <v>70000</v>
      </c>
      <c r="G77" s="24" t="s">
        <v>72</v>
      </c>
      <c r="H77" s="60">
        <v>45746</v>
      </c>
    </row>
  </sheetData>
  <autoFilter ref="A1:H31" xr:uid="{00000000-0001-0000-0100-000000000000}"/>
  <mergeCells count="2">
    <mergeCell ref="D42:XFD42"/>
    <mergeCell ref="J52:R60"/>
  </mergeCells>
  <conditionalFormatting sqref="D47:F77">
    <cfRule type="containsBlanks" priority="2">
      <formula>LEN(TRIM(D47))=0</formula>
    </cfRule>
  </conditionalFormatting>
  <conditionalFormatting sqref="D47:F77">
    <cfRule type="containsBlanks" priority="1">
      <formula>LEN(TRIM(D47))=0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6"/>
  <sheetViews>
    <sheetView showGridLines="0" workbookViewId="0">
      <selection activeCell="F24" sqref="F24"/>
    </sheetView>
  </sheetViews>
  <sheetFormatPr defaultColWidth="12.6640625" defaultRowHeight="15.75" customHeight="1" x14ac:dyDescent="0.25"/>
  <cols>
    <col min="1" max="1" width="15.77734375" customWidth="1"/>
    <col min="2" max="2" width="21.109375" customWidth="1"/>
  </cols>
  <sheetData>
    <row r="2" spans="1:4" s="35" customFormat="1" ht="24.6" x14ac:dyDescent="0.4">
      <c r="A2" s="27"/>
      <c r="B2" s="27"/>
      <c r="C2" s="27"/>
      <c r="D2" s="35" t="s">
        <v>78</v>
      </c>
    </row>
    <row r="4" spans="1:4" ht="13.2" x14ac:dyDescent="0.25">
      <c r="A4" s="4" t="s">
        <v>6</v>
      </c>
      <c r="B4" s="5" t="s">
        <v>67</v>
      </c>
    </row>
    <row r="5" spans="1:4" ht="13.2" x14ac:dyDescent="0.25">
      <c r="A5" s="6" t="s">
        <v>16</v>
      </c>
      <c r="B5" s="5">
        <v>116300</v>
      </c>
    </row>
    <row r="6" spans="1:4" ht="13.2" x14ac:dyDescent="0.25">
      <c r="A6" s="7" t="s">
        <v>10</v>
      </c>
      <c r="B6" s="9">
        <v>137700</v>
      </c>
    </row>
    <row r="7" spans="1:4" ht="13.2" x14ac:dyDescent="0.25">
      <c r="A7" s="7" t="s">
        <v>22</v>
      </c>
      <c r="B7" s="9">
        <v>14000</v>
      </c>
    </row>
    <row r="8" spans="1:4" ht="13.2" x14ac:dyDescent="0.25">
      <c r="A8" s="7" t="s">
        <v>13</v>
      </c>
      <c r="B8" s="9">
        <v>100600</v>
      </c>
    </row>
    <row r="9" spans="1:4" ht="13.2" x14ac:dyDescent="0.25">
      <c r="A9" s="7" t="s">
        <v>18</v>
      </c>
      <c r="B9" s="9">
        <v>123400</v>
      </c>
    </row>
    <row r="10" spans="1:4" ht="13.2" x14ac:dyDescent="0.25">
      <c r="A10" s="8" t="s">
        <v>68</v>
      </c>
      <c r="B10" s="10">
        <v>492000</v>
      </c>
    </row>
    <row r="18" spans="1:26" ht="15.75" customHeight="1" x14ac:dyDescent="0.35">
      <c r="A18" s="28" t="s">
        <v>66</v>
      </c>
    </row>
    <row r="19" spans="1:26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26" ht="13.2" x14ac:dyDescent="0.25">
      <c r="A20" s="29" t="s">
        <v>69</v>
      </c>
      <c r="B20" s="27"/>
      <c r="C20" s="27"/>
      <c r="D20" s="27"/>
      <c r="E20" s="27"/>
      <c r="F20" s="27"/>
      <c r="G20" s="27"/>
      <c r="H20" s="27"/>
      <c r="I20" s="27"/>
      <c r="J20" s="27"/>
    </row>
    <row r="21" spans="1:26" ht="13.2" x14ac:dyDescent="0.25">
      <c r="A21" s="29" t="s">
        <v>70</v>
      </c>
      <c r="B21" s="29"/>
      <c r="C21" s="29"/>
      <c r="D21" s="29"/>
      <c r="E21" s="29"/>
      <c r="F21" s="29"/>
      <c r="G21" s="29"/>
      <c r="H21" s="29"/>
      <c r="I21" s="29"/>
      <c r="J21" s="2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9" t="s">
        <v>65</v>
      </c>
      <c r="B22" s="29"/>
      <c r="C22" s="29"/>
      <c r="D22" s="29"/>
      <c r="E22" s="29"/>
      <c r="F22" s="29"/>
      <c r="G22" s="29"/>
      <c r="H22" s="29"/>
      <c r="I22" s="29"/>
      <c r="J22" s="2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26" ht="15.75" customHeight="1" x14ac:dyDescent="0.25">
      <c r="A24" s="37" t="s">
        <v>79</v>
      </c>
      <c r="B24" s="37"/>
      <c r="C24" s="37"/>
      <c r="D24" s="37"/>
      <c r="E24" s="37"/>
    </row>
    <row r="25" spans="1:26" ht="15.75" customHeight="1" x14ac:dyDescent="0.25">
      <c r="A25" s="37"/>
      <c r="B25" s="37"/>
      <c r="C25" s="37"/>
      <c r="D25" s="37"/>
      <c r="E25" s="37"/>
    </row>
    <row r="26" spans="1:26" ht="15.75" customHeight="1" x14ac:dyDescent="0.25">
      <c r="A26" s="37"/>
      <c r="B26" s="37"/>
      <c r="C26" s="37"/>
      <c r="D26" s="37"/>
      <c r="E26" s="37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mergeCells count="2">
    <mergeCell ref="D2:XFD2"/>
    <mergeCell ref="A24:E26"/>
  </mergeCells>
  <conditionalFormatting sqref="A4:B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{A9D73708-953B-4F98-AB2D-0719F3C16602}</x14:id>
        </ext>
      </extLst>
    </cfRule>
  </conditionalFormatting>
  <conditionalFormatting sqref="B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{49013C6E-1960-42DB-8A41-D5473222037D}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D73708-953B-4F98-AB2D-0719F3C166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A4:B9</xm:sqref>
        </x14:conditionalFormatting>
        <x14:conditionalFormatting xmlns:xm="http://schemas.microsoft.com/office/excel/2006/main">
          <x14:cfRule type="dataBar" id="{49013C6E-1960-42DB-8A41-D54732220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3573-8243-46E9-AE30-3C1256D2C836}">
  <dimension ref="A4:O33"/>
  <sheetViews>
    <sheetView topLeftCell="A23" workbookViewId="0">
      <selection activeCell="D4" sqref="D4:XFD4"/>
    </sheetView>
  </sheetViews>
  <sheetFormatPr defaultRowHeight="13.2" x14ac:dyDescent="0.25"/>
  <cols>
    <col min="6" max="6" width="33.21875" customWidth="1"/>
    <col min="8" max="8" width="33.6640625" customWidth="1"/>
    <col min="9" max="9" width="20.88671875" customWidth="1"/>
    <col min="10" max="10" width="4" customWidth="1"/>
    <col min="15" max="15" width="23.5546875" customWidth="1"/>
  </cols>
  <sheetData>
    <row r="4" spans="1:15" s="35" customFormat="1" ht="24.6" x14ac:dyDescent="0.4">
      <c r="A4" s="27"/>
      <c r="B4" s="27"/>
      <c r="C4" s="27"/>
      <c r="D4" s="35" t="s">
        <v>81</v>
      </c>
    </row>
    <row r="7" spans="1:15" ht="13.2" customHeight="1" x14ac:dyDescent="0.25">
      <c r="H7" s="53" t="s">
        <v>82</v>
      </c>
      <c r="I7" s="52"/>
      <c r="K7" s="54" t="s">
        <v>85</v>
      </c>
      <c r="L7" s="54"/>
      <c r="M7" s="54"/>
      <c r="N7" s="54"/>
      <c r="O7" s="54"/>
    </row>
    <row r="8" spans="1:15" ht="13.2" customHeight="1" x14ac:dyDescent="0.25">
      <c r="B8" s="49" t="s">
        <v>84</v>
      </c>
      <c r="C8" s="49"/>
      <c r="D8" s="49"/>
      <c r="E8" s="49"/>
      <c r="F8" s="49"/>
      <c r="H8" s="30" t="s">
        <v>0</v>
      </c>
      <c r="I8" s="30">
        <v>1015</v>
      </c>
      <c r="K8" s="54"/>
      <c r="L8" s="54"/>
      <c r="M8" s="54"/>
      <c r="N8" s="54"/>
      <c r="O8" s="54"/>
    </row>
    <row r="9" spans="1:15" ht="13.2" customHeight="1" x14ac:dyDescent="0.25">
      <c r="B9" s="49"/>
      <c r="C9" s="49"/>
      <c r="D9" s="49"/>
      <c r="E9" s="49"/>
      <c r="F9" s="49"/>
      <c r="K9" s="54"/>
      <c r="L9" s="54"/>
      <c r="M9" s="54"/>
      <c r="N9" s="54"/>
      <c r="O9" s="54"/>
    </row>
    <row r="10" spans="1:15" ht="13.2" customHeight="1" x14ac:dyDescent="0.25">
      <c r="B10" s="49"/>
      <c r="C10" s="49"/>
      <c r="D10" s="49"/>
      <c r="E10" s="49"/>
      <c r="F10" s="49"/>
      <c r="K10" s="50" t="str">
        <f>INDEX('Data Cleaning and Transformatio'!C2:C31,MATCH('VLOOKUP and INDEX   MATCH opera'!I13,'Data Cleaning and Transformatio'!A2:A31,0))</f>
        <v>Furniture</v>
      </c>
      <c r="L10" s="50"/>
      <c r="M10" s="50"/>
      <c r="N10" s="50"/>
      <c r="O10" s="50"/>
    </row>
    <row r="11" spans="1:15" x14ac:dyDescent="0.25">
      <c r="B11" s="50">
        <f>VLOOKUP(I8,'Data Cleaning and Transformatio'!A1:F31,6,FALSE)</f>
        <v>5400</v>
      </c>
      <c r="C11" s="50"/>
      <c r="D11" s="50"/>
      <c r="E11" s="50"/>
      <c r="F11" s="50"/>
      <c r="K11" s="50"/>
      <c r="L11" s="50"/>
      <c r="M11" s="50"/>
      <c r="N11" s="50"/>
      <c r="O11" s="50"/>
    </row>
    <row r="12" spans="1:15" x14ac:dyDescent="0.25">
      <c r="B12" s="50"/>
      <c r="C12" s="50"/>
      <c r="D12" s="50"/>
      <c r="E12" s="50"/>
      <c r="F12" s="50"/>
      <c r="H12" s="51" t="s">
        <v>83</v>
      </c>
      <c r="I12" s="52"/>
      <c r="K12" s="50"/>
      <c r="L12" s="50"/>
      <c r="M12" s="50"/>
      <c r="N12" s="50"/>
      <c r="O12" s="50"/>
    </row>
    <row r="13" spans="1:15" x14ac:dyDescent="0.25">
      <c r="B13" s="50"/>
      <c r="C13" s="50"/>
      <c r="D13" s="50"/>
      <c r="E13" s="50"/>
      <c r="F13" s="50"/>
      <c r="H13" s="30" t="s">
        <v>0</v>
      </c>
      <c r="I13" s="30">
        <v>1027</v>
      </c>
    </row>
    <row r="18" spans="3:15" x14ac:dyDescent="0.25">
      <c r="C18" s="41" t="s">
        <v>86</v>
      </c>
      <c r="D18" s="37"/>
      <c r="E18" s="37"/>
      <c r="F18" s="37"/>
      <c r="G18" s="37"/>
      <c r="H18" s="37"/>
    </row>
    <row r="19" spans="3:15" x14ac:dyDescent="0.25">
      <c r="C19" s="37"/>
      <c r="D19" s="37"/>
      <c r="E19" s="37"/>
      <c r="F19" s="37"/>
      <c r="G19" s="37"/>
      <c r="H19" s="37"/>
    </row>
    <row r="20" spans="3:15" x14ac:dyDescent="0.25">
      <c r="C20" s="31"/>
      <c r="D20" s="31"/>
      <c r="E20" s="31"/>
      <c r="F20" s="31"/>
      <c r="G20" s="31"/>
      <c r="H20" s="31"/>
    </row>
    <row r="21" spans="3:15" ht="15.6" x14ac:dyDescent="0.3">
      <c r="C21" s="42" t="s">
        <v>87</v>
      </c>
      <c r="D21" s="43"/>
      <c r="E21" s="42" t="s">
        <v>88</v>
      </c>
      <c r="F21" s="43"/>
      <c r="G21" s="42" t="s">
        <v>89</v>
      </c>
      <c r="H21" s="43"/>
      <c r="J21" s="44" t="s">
        <v>90</v>
      </c>
      <c r="K21" s="45"/>
      <c r="L21" s="45"/>
      <c r="M21" s="45"/>
      <c r="N21" s="45"/>
      <c r="O21" s="45"/>
    </row>
    <row r="22" spans="3:15" x14ac:dyDescent="0.25">
      <c r="C22" s="38" t="s">
        <v>91</v>
      </c>
      <c r="D22" s="46"/>
      <c r="E22" s="47" t="s">
        <v>92</v>
      </c>
      <c r="F22" s="47"/>
      <c r="G22" s="47" t="s">
        <v>93</v>
      </c>
      <c r="H22" s="47"/>
      <c r="J22" s="45"/>
      <c r="K22" s="45"/>
      <c r="L22" s="45"/>
      <c r="M22" s="45"/>
      <c r="N22" s="45"/>
      <c r="O22" s="45"/>
    </row>
    <row r="23" spans="3:15" x14ac:dyDescent="0.25">
      <c r="C23" s="46"/>
      <c r="D23" s="46"/>
      <c r="E23" s="47"/>
      <c r="F23" s="47"/>
      <c r="G23" s="47"/>
      <c r="H23" s="47"/>
      <c r="J23" s="45"/>
      <c r="K23" s="45"/>
      <c r="L23" s="45"/>
      <c r="M23" s="45"/>
      <c r="N23" s="45"/>
      <c r="O23" s="45"/>
    </row>
    <row r="24" spans="3:15" x14ac:dyDescent="0.25">
      <c r="C24" s="32"/>
      <c r="D24" s="32"/>
      <c r="E24" s="32"/>
      <c r="F24" s="32"/>
      <c r="G24" s="32"/>
      <c r="H24" s="32"/>
      <c r="J24" s="45"/>
      <c r="K24" s="45"/>
      <c r="L24" s="45"/>
      <c r="M24" s="45"/>
      <c r="N24" s="45"/>
      <c r="O24" s="45"/>
    </row>
    <row r="25" spans="3:15" x14ac:dyDescent="0.25">
      <c r="C25" s="38" t="s">
        <v>94</v>
      </c>
      <c r="D25" s="46"/>
      <c r="E25" s="39" t="s">
        <v>95</v>
      </c>
      <c r="F25" s="48"/>
      <c r="G25" s="39" t="s">
        <v>96</v>
      </c>
      <c r="H25" s="47"/>
      <c r="J25" s="45"/>
      <c r="K25" s="45"/>
      <c r="L25" s="45"/>
      <c r="M25" s="45"/>
      <c r="N25" s="45"/>
      <c r="O25" s="45"/>
    </row>
    <row r="26" spans="3:15" x14ac:dyDescent="0.25">
      <c r="C26" s="46"/>
      <c r="D26" s="46"/>
      <c r="E26" s="48"/>
      <c r="F26" s="48"/>
      <c r="G26" s="47"/>
      <c r="H26" s="47"/>
      <c r="J26" s="45"/>
      <c r="K26" s="45"/>
      <c r="L26" s="45"/>
      <c r="M26" s="45"/>
      <c r="N26" s="45"/>
      <c r="O26" s="45"/>
    </row>
    <row r="27" spans="3:15" x14ac:dyDescent="0.25">
      <c r="C27" s="32"/>
      <c r="D27" s="32"/>
      <c r="E27" s="48"/>
      <c r="F27" s="48"/>
      <c r="G27" s="47"/>
      <c r="H27" s="47"/>
    </row>
    <row r="28" spans="3:15" x14ac:dyDescent="0.25">
      <c r="C28" s="38" t="s">
        <v>97</v>
      </c>
      <c r="D28" s="38"/>
      <c r="E28" s="39" t="s">
        <v>98</v>
      </c>
      <c r="F28" s="39"/>
      <c r="G28" s="40" t="s">
        <v>99</v>
      </c>
      <c r="H28" s="40"/>
    </row>
    <row r="29" spans="3:15" x14ac:dyDescent="0.25">
      <c r="C29" s="38"/>
      <c r="D29" s="38"/>
      <c r="E29" s="39"/>
      <c r="F29" s="39"/>
      <c r="G29" s="40"/>
      <c r="H29" s="40"/>
    </row>
    <row r="30" spans="3:15" x14ac:dyDescent="0.25">
      <c r="C30" s="32"/>
      <c r="D30" s="32"/>
      <c r="E30" s="39"/>
      <c r="F30" s="39"/>
      <c r="G30" s="40"/>
      <c r="H30" s="40"/>
    </row>
    <row r="31" spans="3:15" x14ac:dyDescent="0.25">
      <c r="C31" s="38" t="s">
        <v>100</v>
      </c>
      <c r="D31" s="38"/>
      <c r="E31" s="39" t="s">
        <v>101</v>
      </c>
      <c r="F31" s="39"/>
      <c r="G31" s="39" t="s">
        <v>102</v>
      </c>
      <c r="H31" s="39"/>
    </row>
    <row r="32" spans="3:15" x14ac:dyDescent="0.25">
      <c r="C32" s="38"/>
      <c r="D32" s="38"/>
      <c r="E32" s="39"/>
      <c r="F32" s="39"/>
      <c r="G32" s="39"/>
      <c r="H32" s="39"/>
    </row>
    <row r="33" spans="3:8" x14ac:dyDescent="0.25">
      <c r="C33" s="32"/>
      <c r="D33" s="32"/>
      <c r="E33" s="39"/>
      <c r="F33" s="39"/>
      <c r="G33" s="39"/>
      <c r="H33" s="39"/>
    </row>
  </sheetData>
  <mergeCells count="24">
    <mergeCell ref="D4:XFD4"/>
    <mergeCell ref="B8:F10"/>
    <mergeCell ref="B11:F13"/>
    <mergeCell ref="H12:I12"/>
    <mergeCell ref="H7:I7"/>
    <mergeCell ref="K7:O9"/>
    <mergeCell ref="K10:O12"/>
    <mergeCell ref="C18:H19"/>
    <mergeCell ref="C21:D21"/>
    <mergeCell ref="E21:F21"/>
    <mergeCell ref="G21:H21"/>
    <mergeCell ref="J21:O26"/>
    <mergeCell ref="C22:D23"/>
    <mergeCell ref="E22:F23"/>
    <mergeCell ref="G22:H23"/>
    <mergeCell ref="C25:D26"/>
    <mergeCell ref="E25:F27"/>
    <mergeCell ref="G25:H27"/>
    <mergeCell ref="C28:D29"/>
    <mergeCell ref="E28:F30"/>
    <mergeCell ref="G28:H30"/>
    <mergeCell ref="C31:D32"/>
    <mergeCell ref="E31:F33"/>
    <mergeCell ref="G31:H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34"/>
  <sheetViews>
    <sheetView zoomScale="85" zoomScaleNormal="85" workbookViewId="0">
      <selection activeCell="L6" sqref="L6"/>
    </sheetView>
  </sheetViews>
  <sheetFormatPr defaultColWidth="12.6640625" defaultRowHeight="15.75" customHeight="1" x14ac:dyDescent="0.25"/>
  <sheetData>
    <row r="1" spans="1:19" ht="24" customHeight="1" x14ac:dyDescent="0.25"/>
    <row r="2" spans="1:19" s="35" customFormat="1" ht="24.6" x14ac:dyDescent="0.4">
      <c r="A2" s="27"/>
      <c r="B2" s="27"/>
      <c r="C2" s="27"/>
      <c r="D2" s="35" t="s">
        <v>103</v>
      </c>
    </row>
    <row r="4" spans="1:19" ht="15.75" customHeight="1" x14ac:dyDescent="0.3">
      <c r="B4" s="61" t="s">
        <v>5</v>
      </c>
      <c r="C4" s="64" t="s">
        <v>7</v>
      </c>
    </row>
    <row r="5" spans="1:19" ht="15.75" customHeight="1" x14ac:dyDescent="0.3">
      <c r="B5" s="62">
        <v>1500</v>
      </c>
      <c r="C5" s="65">
        <v>45660</v>
      </c>
    </row>
    <row r="6" spans="1:19" ht="15.75" customHeight="1" x14ac:dyDescent="0.3">
      <c r="B6" s="63">
        <v>16400</v>
      </c>
      <c r="C6" s="66">
        <v>45691</v>
      </c>
    </row>
    <row r="7" spans="1:19" ht="15.75" customHeight="1" x14ac:dyDescent="0.3">
      <c r="B7" s="62">
        <v>3500</v>
      </c>
      <c r="C7" s="65">
        <v>45719</v>
      </c>
    </row>
    <row r="8" spans="1:19" ht="15.75" customHeight="1" x14ac:dyDescent="0.3">
      <c r="B8" s="63">
        <v>16400</v>
      </c>
      <c r="C8" s="66">
        <v>45750</v>
      </c>
    </row>
    <row r="9" spans="1:19" ht="15.75" customHeight="1" x14ac:dyDescent="0.3">
      <c r="B9" s="62">
        <v>5000</v>
      </c>
      <c r="C9" s="65">
        <v>45780</v>
      </c>
    </row>
    <row r="10" spans="1:19" ht="15.75" customHeight="1" x14ac:dyDescent="0.3">
      <c r="B10" s="63">
        <v>14000</v>
      </c>
      <c r="C10" s="66">
        <v>45811</v>
      </c>
    </row>
    <row r="11" spans="1:19" ht="15.75" customHeight="1" x14ac:dyDescent="0.3">
      <c r="B11" s="62">
        <v>16400</v>
      </c>
      <c r="C11" s="65">
        <v>45841</v>
      </c>
      <c r="L11" s="26" t="s">
        <v>66</v>
      </c>
      <c r="M11" s="27"/>
    </row>
    <row r="12" spans="1:19" ht="15.75" customHeight="1" x14ac:dyDescent="0.3">
      <c r="B12" s="63">
        <v>13500</v>
      </c>
      <c r="C12" s="66">
        <v>45872</v>
      </c>
      <c r="L12" s="55" t="s">
        <v>76</v>
      </c>
      <c r="M12" s="37"/>
      <c r="N12" s="37"/>
      <c r="O12" s="37"/>
      <c r="P12" s="37"/>
      <c r="Q12" s="37"/>
      <c r="R12" s="37"/>
      <c r="S12" s="37"/>
    </row>
    <row r="13" spans="1:19" ht="15.75" customHeight="1" x14ac:dyDescent="0.3">
      <c r="B13" s="62">
        <v>16400</v>
      </c>
      <c r="C13" s="65">
        <v>45903</v>
      </c>
      <c r="L13" s="37"/>
      <c r="M13" s="37"/>
      <c r="N13" s="37"/>
      <c r="O13" s="37"/>
      <c r="P13" s="37"/>
      <c r="Q13" s="37"/>
      <c r="R13" s="37"/>
      <c r="S13" s="37"/>
    </row>
    <row r="14" spans="1:19" ht="15.75" customHeight="1" x14ac:dyDescent="0.3">
      <c r="B14" s="63">
        <v>3000</v>
      </c>
      <c r="C14" s="66">
        <v>45933</v>
      </c>
      <c r="L14" s="37"/>
      <c r="M14" s="37"/>
      <c r="N14" s="37"/>
      <c r="O14" s="37"/>
      <c r="P14" s="37"/>
      <c r="Q14" s="37"/>
      <c r="R14" s="37"/>
      <c r="S14" s="37"/>
    </row>
    <row r="15" spans="1:19" ht="15.75" customHeight="1" x14ac:dyDescent="0.3">
      <c r="B15" s="62">
        <v>16400</v>
      </c>
      <c r="C15" s="65">
        <v>45964</v>
      </c>
      <c r="L15" s="37"/>
      <c r="M15" s="37"/>
      <c r="N15" s="37"/>
      <c r="O15" s="37"/>
      <c r="P15" s="37"/>
      <c r="Q15" s="37"/>
      <c r="R15" s="37"/>
      <c r="S15" s="37"/>
    </row>
    <row r="16" spans="1:19" ht="15.75" customHeight="1" x14ac:dyDescent="0.3">
      <c r="B16" s="63">
        <v>2200</v>
      </c>
      <c r="C16" s="66">
        <v>45994</v>
      </c>
      <c r="L16" s="37"/>
      <c r="M16" s="37"/>
      <c r="N16" s="37"/>
      <c r="O16" s="37"/>
      <c r="P16" s="37"/>
      <c r="Q16" s="37"/>
      <c r="R16" s="37"/>
      <c r="S16" s="37"/>
    </row>
    <row r="17" spans="2:19" ht="15.75" customHeight="1" x14ac:dyDescent="0.3">
      <c r="B17" s="62">
        <v>24000</v>
      </c>
      <c r="C17" s="65">
        <v>45729</v>
      </c>
      <c r="L17" s="37"/>
      <c r="M17" s="37"/>
      <c r="N17" s="37"/>
      <c r="O17" s="37"/>
      <c r="P17" s="37"/>
      <c r="Q17" s="37"/>
      <c r="R17" s="37"/>
      <c r="S17" s="37"/>
    </row>
    <row r="18" spans="2:19" ht="15.75" customHeight="1" x14ac:dyDescent="0.3">
      <c r="B18" s="63">
        <v>16400</v>
      </c>
      <c r="C18" s="66">
        <v>45730</v>
      </c>
      <c r="L18" s="37"/>
      <c r="M18" s="37"/>
      <c r="N18" s="37"/>
      <c r="O18" s="37"/>
      <c r="P18" s="37"/>
      <c r="Q18" s="37"/>
      <c r="R18" s="37"/>
      <c r="S18" s="37"/>
    </row>
    <row r="19" spans="2:19" ht="15.75" customHeight="1" x14ac:dyDescent="0.3">
      <c r="B19" s="62">
        <v>5400</v>
      </c>
      <c r="C19" s="65">
        <v>45731</v>
      </c>
      <c r="L19" s="37"/>
      <c r="M19" s="37"/>
      <c r="N19" s="37"/>
      <c r="O19" s="37"/>
      <c r="P19" s="37"/>
      <c r="Q19" s="37"/>
      <c r="R19" s="37"/>
      <c r="S19" s="37"/>
    </row>
    <row r="20" spans="2:19" ht="15.75" customHeight="1" x14ac:dyDescent="0.3">
      <c r="B20" s="63">
        <v>16400</v>
      </c>
      <c r="C20" s="66">
        <v>45732</v>
      </c>
      <c r="L20" s="37"/>
      <c r="M20" s="37"/>
      <c r="N20" s="37"/>
      <c r="O20" s="37"/>
      <c r="P20" s="37"/>
      <c r="Q20" s="37"/>
      <c r="R20" s="37"/>
      <c r="S20" s="37"/>
    </row>
    <row r="21" spans="2:19" ht="15.75" customHeight="1" x14ac:dyDescent="0.3">
      <c r="B21" s="62">
        <v>8000</v>
      </c>
      <c r="C21" s="65">
        <v>45733</v>
      </c>
      <c r="L21" s="37"/>
      <c r="M21" s="37"/>
      <c r="N21" s="37"/>
      <c r="O21" s="37"/>
      <c r="P21" s="37"/>
      <c r="Q21" s="37"/>
      <c r="R21" s="37"/>
      <c r="S21" s="37"/>
    </row>
    <row r="22" spans="2:19" ht="15.75" customHeight="1" x14ac:dyDescent="0.3">
      <c r="B22" s="63">
        <v>11000</v>
      </c>
      <c r="C22" s="66">
        <v>45734</v>
      </c>
      <c r="E22" s="3"/>
    </row>
    <row r="23" spans="2:19" ht="15.75" customHeight="1" x14ac:dyDescent="0.3">
      <c r="B23" s="62">
        <v>20000</v>
      </c>
      <c r="C23" s="65">
        <v>45735</v>
      </c>
      <c r="E23" s="2"/>
    </row>
    <row r="24" spans="2:19" ht="14.4" x14ac:dyDescent="0.3">
      <c r="B24" s="63">
        <v>16400</v>
      </c>
      <c r="C24" s="66">
        <v>45736</v>
      </c>
      <c r="E24" s="2"/>
    </row>
    <row r="25" spans="2:19" ht="14.4" x14ac:dyDescent="0.3">
      <c r="B25" s="62">
        <v>8000</v>
      </c>
      <c r="C25" s="65">
        <v>45737</v>
      </c>
    </row>
    <row r="26" spans="2:19" ht="14.4" x14ac:dyDescent="0.3">
      <c r="B26" s="63">
        <v>16400</v>
      </c>
      <c r="C26" s="66">
        <v>45738</v>
      </c>
    </row>
    <row r="27" spans="2:19" ht="14.4" x14ac:dyDescent="0.3">
      <c r="B27" s="62">
        <v>2500</v>
      </c>
      <c r="C27" s="65">
        <v>45739</v>
      </c>
    </row>
    <row r="28" spans="2:19" ht="14.4" x14ac:dyDescent="0.3">
      <c r="B28" s="63">
        <v>16400</v>
      </c>
      <c r="C28" s="66">
        <v>45740</v>
      </c>
    </row>
    <row r="29" spans="2:19" ht="14.4" x14ac:dyDescent="0.3">
      <c r="B29" s="62">
        <v>40000</v>
      </c>
      <c r="C29" s="65">
        <v>45741</v>
      </c>
    </row>
    <row r="30" spans="2:19" ht="14.4" x14ac:dyDescent="0.3">
      <c r="B30" s="63">
        <v>1000</v>
      </c>
      <c r="C30" s="66">
        <v>45742</v>
      </c>
    </row>
    <row r="31" spans="2:19" ht="14.4" x14ac:dyDescent="0.3">
      <c r="B31" s="62">
        <v>55000</v>
      </c>
      <c r="C31" s="65">
        <v>45743</v>
      </c>
    </row>
    <row r="32" spans="2:19" ht="14.4" x14ac:dyDescent="0.3">
      <c r="B32" s="63">
        <v>16400</v>
      </c>
      <c r="C32" s="66">
        <v>45744</v>
      </c>
    </row>
    <row r="33" spans="2:3" ht="14.4" x14ac:dyDescent="0.3">
      <c r="B33" s="62">
        <v>24000</v>
      </c>
      <c r="C33" s="65">
        <v>45745</v>
      </c>
    </row>
    <row r="34" spans="2:3" ht="14.4" x14ac:dyDescent="0.3">
      <c r="B34" s="63">
        <v>70000</v>
      </c>
      <c r="C34" s="66">
        <v>45746</v>
      </c>
    </row>
  </sheetData>
  <mergeCells count="2">
    <mergeCell ref="L12:S21"/>
    <mergeCell ref="D2:XFD2"/>
  </mergeCells>
  <conditionalFormatting sqref="B4:B34">
    <cfRule type="containsBlanks" priority="2">
      <formula>LEN(TRIM(B4))=0</formula>
    </cfRule>
  </conditionalFormatting>
  <conditionalFormatting sqref="B4:B34">
    <cfRule type="containsBlanks" priority="1">
      <formula>LEN(TRIM(B4))=0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87B8-60CF-4FC4-AAEC-E1D0B025DDE4}">
  <dimension ref="A3:J43"/>
  <sheetViews>
    <sheetView tabSelected="1" workbookViewId="0">
      <selection activeCell="J39" sqref="J39"/>
    </sheetView>
  </sheetViews>
  <sheetFormatPr defaultRowHeight="13.2" x14ac:dyDescent="0.25"/>
  <cols>
    <col min="2" max="2" width="13" bestFit="1" customWidth="1"/>
    <col min="3" max="3" width="18.5546875" bestFit="1" customWidth="1"/>
    <col min="4" max="4" width="13" bestFit="1" customWidth="1"/>
    <col min="5" max="5" width="12.77734375" bestFit="1" customWidth="1"/>
    <col min="6" max="6" width="18" bestFit="1" customWidth="1"/>
    <col min="7" max="7" width="17.6640625" bestFit="1" customWidth="1"/>
    <col min="8" max="8" width="30.109375" bestFit="1" customWidth="1"/>
    <col min="9" max="9" width="15.109375" bestFit="1" customWidth="1"/>
    <col min="10" max="10" width="20.44140625" customWidth="1"/>
  </cols>
  <sheetData>
    <row r="3" spans="1:10" s="35" customFormat="1" ht="24.6" x14ac:dyDescent="0.4">
      <c r="A3" s="27"/>
      <c r="B3" s="27"/>
      <c r="C3" s="27"/>
      <c r="D3" s="35" t="s">
        <v>104</v>
      </c>
    </row>
    <row r="6" spans="1:10" x14ac:dyDescent="0.2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71</v>
      </c>
      <c r="I6" t="s">
        <v>7</v>
      </c>
      <c r="J6" t="s">
        <v>105</v>
      </c>
    </row>
    <row r="7" spans="1:10" x14ac:dyDescent="0.25">
      <c r="B7">
        <v>1030</v>
      </c>
      <c r="C7" t="s">
        <v>63</v>
      </c>
      <c r="D7" t="s">
        <v>9</v>
      </c>
      <c r="E7">
        <v>1</v>
      </c>
      <c r="F7">
        <v>70000</v>
      </c>
      <c r="G7">
        <v>70000</v>
      </c>
      <c r="H7" t="s">
        <v>72</v>
      </c>
      <c r="I7" t="s">
        <v>64</v>
      </c>
      <c r="J7" s="27">
        <f>Table53[[#This Row],[Total_Amount]]-(Table53[[#This Row],[Quantity]]*Table53[[#This Row],[Price_Per_Unit]]*0.6)</f>
        <v>28000</v>
      </c>
    </row>
    <row r="8" spans="1:10" x14ac:dyDescent="0.25">
      <c r="B8">
        <v>1027</v>
      </c>
      <c r="C8" t="s">
        <v>58</v>
      </c>
      <c r="D8" t="s">
        <v>39</v>
      </c>
      <c r="E8">
        <v>1</v>
      </c>
      <c r="F8">
        <v>55000</v>
      </c>
      <c r="G8">
        <v>55000</v>
      </c>
      <c r="H8" t="s">
        <v>74</v>
      </c>
      <c r="I8" t="s">
        <v>59</v>
      </c>
      <c r="J8" s="27">
        <f>Table53[[#This Row],[Total_Amount]]-(Table53[[#This Row],[Quantity]]*Table53[[#This Row],[Price_Per_Unit]]*0.6)</f>
        <v>22000</v>
      </c>
    </row>
    <row r="9" spans="1:10" x14ac:dyDescent="0.25">
      <c r="B9">
        <v>1025</v>
      </c>
      <c r="C9" t="s">
        <v>54</v>
      </c>
      <c r="D9" t="s">
        <v>9</v>
      </c>
      <c r="E9">
        <v>1</v>
      </c>
      <c r="F9">
        <v>40000</v>
      </c>
      <c r="G9">
        <v>40000</v>
      </c>
      <c r="H9" t="s">
        <v>75</v>
      </c>
      <c r="I9" t="s">
        <v>55</v>
      </c>
      <c r="J9" s="27">
        <f>Table53[[#This Row],[Total_Amount]]-(Table53[[#This Row],[Quantity]]*Table53[[#This Row],[Price_Per_Unit]]*0.6)</f>
        <v>16000</v>
      </c>
    </row>
    <row r="10" spans="1:10" ht="14.4" hidden="1" x14ac:dyDescent="0.3">
      <c r="B10" s="18">
        <v>1002</v>
      </c>
      <c r="C10" s="13" t="s">
        <v>11</v>
      </c>
      <c r="D10" s="13" t="s">
        <v>12</v>
      </c>
      <c r="E10" s="13">
        <v>2</v>
      </c>
      <c r="F10" s="13">
        <v>800</v>
      </c>
      <c r="G10" s="13">
        <v>16400</v>
      </c>
      <c r="H10" s="13" t="s">
        <v>73</v>
      </c>
      <c r="I10" s="20">
        <v>45691</v>
      </c>
      <c r="J10" s="33">
        <f>Table53[[#This Row],[Total_Amount]]-(Table53[[#This Row],[Quantity]]*Table53[[#This Row],[Price_Per_Unit]]*0.6)</f>
        <v>15440</v>
      </c>
    </row>
    <row r="11" spans="1:10" ht="14.4" hidden="1" x14ac:dyDescent="0.3">
      <c r="B11" s="18">
        <v>1014</v>
      </c>
      <c r="C11" s="13" t="s">
        <v>32</v>
      </c>
      <c r="D11" s="13" t="s">
        <v>12</v>
      </c>
      <c r="E11" s="13">
        <v>2</v>
      </c>
      <c r="F11" s="13">
        <v>900</v>
      </c>
      <c r="G11" s="13">
        <v>16400</v>
      </c>
      <c r="H11" s="13" t="s">
        <v>72</v>
      </c>
      <c r="I11" s="22" t="s">
        <v>33</v>
      </c>
      <c r="J11" s="33">
        <f>Table53[[#This Row],[Total_Amount]]-(Table53[[#This Row],[Quantity]]*Table53[[#This Row],[Price_Per_Unit]]*0.6)</f>
        <v>15320</v>
      </c>
    </row>
    <row r="12" spans="1:10" ht="14.4" hidden="1" x14ac:dyDescent="0.3">
      <c r="B12" s="18">
        <v>1020</v>
      </c>
      <c r="C12" s="13" t="s">
        <v>45</v>
      </c>
      <c r="D12" s="13" t="s">
        <v>12</v>
      </c>
      <c r="E12" s="13">
        <v>2</v>
      </c>
      <c r="F12" s="13">
        <v>1200</v>
      </c>
      <c r="G12" s="13">
        <v>16400</v>
      </c>
      <c r="H12" s="13" t="s">
        <v>73</v>
      </c>
      <c r="I12" s="22" t="s">
        <v>46</v>
      </c>
      <c r="J12" s="33">
        <f>Table53[[#This Row],[Total_Amount]]-(Table53[[#This Row],[Quantity]]*Table53[[#This Row],[Price_Per_Unit]]*0.6)</f>
        <v>14960</v>
      </c>
    </row>
    <row r="13" spans="1:10" ht="14.4" hidden="1" x14ac:dyDescent="0.3">
      <c r="B13" s="18">
        <v>1016</v>
      </c>
      <c r="C13" s="13" t="s">
        <v>36</v>
      </c>
      <c r="D13" s="13" t="s">
        <v>15</v>
      </c>
      <c r="E13" s="13">
        <v>2</v>
      </c>
      <c r="F13" s="13">
        <v>1500</v>
      </c>
      <c r="G13" s="13">
        <v>16400</v>
      </c>
      <c r="H13" s="13" t="s">
        <v>73</v>
      </c>
      <c r="I13" s="22" t="s">
        <v>37</v>
      </c>
      <c r="J13" s="33">
        <f>Table53[[#This Row],[Total_Amount]]-(Table53[[#This Row],[Quantity]]*Table53[[#This Row],[Price_Per_Unit]]*0.6)</f>
        <v>14600</v>
      </c>
    </row>
    <row r="14" spans="1:10" ht="14.4" hidden="1" x14ac:dyDescent="0.3">
      <c r="B14" s="17">
        <v>1013</v>
      </c>
      <c r="C14" s="11" t="s">
        <v>30</v>
      </c>
      <c r="D14" s="11" t="s">
        <v>26</v>
      </c>
      <c r="E14" s="11">
        <v>2</v>
      </c>
      <c r="F14" s="11">
        <v>12000</v>
      </c>
      <c r="G14" s="11">
        <v>24000</v>
      </c>
      <c r="H14" s="11" t="s">
        <v>75</v>
      </c>
      <c r="I14" s="21" t="s">
        <v>31</v>
      </c>
      <c r="J14" s="33">
        <f>Table53[[#This Row],[Total_Amount]]-(Table53[[#This Row],[Quantity]]*Table53[[#This Row],[Price_Per_Unit]]*0.6)</f>
        <v>9600</v>
      </c>
    </row>
    <row r="15" spans="1:10" ht="14.4" hidden="1" x14ac:dyDescent="0.3">
      <c r="B15" s="17">
        <v>1029</v>
      </c>
      <c r="C15" s="11" t="s">
        <v>61</v>
      </c>
      <c r="D15" s="11" t="s">
        <v>26</v>
      </c>
      <c r="E15" s="11">
        <v>2</v>
      </c>
      <c r="F15" s="11">
        <v>12000</v>
      </c>
      <c r="G15" s="11">
        <v>24000</v>
      </c>
      <c r="H15" s="11" t="s">
        <v>75</v>
      </c>
      <c r="I15" s="21" t="s">
        <v>62</v>
      </c>
      <c r="J15" s="33">
        <f>Table53[[#This Row],[Total_Amount]]-(Table53[[#This Row],[Quantity]]*Table53[[#This Row],[Price_Per_Unit]]*0.6)</f>
        <v>9600</v>
      </c>
    </row>
    <row r="16" spans="1:10" ht="14.4" hidden="1" x14ac:dyDescent="0.3">
      <c r="B16" s="17">
        <v>1009</v>
      </c>
      <c r="C16" s="11" t="s">
        <v>25</v>
      </c>
      <c r="D16" s="11" t="s">
        <v>26</v>
      </c>
      <c r="E16" s="11">
        <v>2</v>
      </c>
      <c r="F16" s="11">
        <v>6000</v>
      </c>
      <c r="G16" s="11">
        <v>16400</v>
      </c>
      <c r="H16" s="11" t="s">
        <v>72</v>
      </c>
      <c r="I16" s="19">
        <v>45903</v>
      </c>
      <c r="J16" s="33">
        <f>Table53[[#This Row],[Total_Amount]]-(Table53[[#This Row],[Quantity]]*Table53[[#This Row],[Price_Per_Unit]]*0.6)</f>
        <v>9200</v>
      </c>
    </row>
    <row r="17" spans="2:10" ht="14.4" hidden="1" x14ac:dyDescent="0.3">
      <c r="B17" s="17">
        <v>1007</v>
      </c>
      <c r="C17" s="11" t="s">
        <v>23</v>
      </c>
      <c r="D17" s="11" t="s">
        <v>12</v>
      </c>
      <c r="E17" s="11">
        <v>1</v>
      </c>
      <c r="F17" s="11">
        <v>12619</v>
      </c>
      <c r="G17" s="11">
        <v>16400</v>
      </c>
      <c r="H17" s="11" t="s">
        <v>73</v>
      </c>
      <c r="I17" s="19">
        <v>45841</v>
      </c>
      <c r="J17" s="33">
        <f>Table53[[#This Row],[Total_Amount]]-(Table53[[#This Row],[Quantity]]*Table53[[#This Row],[Price_Per_Unit]]*0.6)</f>
        <v>8828.6</v>
      </c>
    </row>
    <row r="18" spans="2:10" ht="14.4" hidden="1" x14ac:dyDescent="0.3">
      <c r="B18" s="17">
        <v>1019</v>
      </c>
      <c r="C18" s="11" t="s">
        <v>43</v>
      </c>
      <c r="D18" s="11" t="s">
        <v>9</v>
      </c>
      <c r="E18" s="11">
        <v>1</v>
      </c>
      <c r="F18" s="11">
        <v>20000</v>
      </c>
      <c r="G18" s="11">
        <v>20000</v>
      </c>
      <c r="H18" s="11" t="s">
        <v>74</v>
      </c>
      <c r="I18" s="21" t="s">
        <v>44</v>
      </c>
      <c r="J18" s="33">
        <f>Table53[[#This Row],[Total_Amount]]-(Table53[[#This Row],[Quantity]]*Table53[[#This Row],[Price_Per_Unit]]*0.6)</f>
        <v>8000</v>
      </c>
    </row>
    <row r="19" spans="2:10" ht="14.4" hidden="1" x14ac:dyDescent="0.3">
      <c r="B19" s="18">
        <v>1006</v>
      </c>
      <c r="C19" s="13" t="s">
        <v>21</v>
      </c>
      <c r="D19" s="13" t="s">
        <v>9</v>
      </c>
      <c r="E19" s="13">
        <v>2</v>
      </c>
      <c r="F19" s="13">
        <v>7000</v>
      </c>
      <c r="G19" s="13">
        <v>14000</v>
      </c>
      <c r="H19" s="13" t="s">
        <v>22</v>
      </c>
      <c r="I19" s="20">
        <v>45811</v>
      </c>
      <c r="J19" s="33">
        <f>Table53[[#This Row],[Total_Amount]]-(Table53[[#This Row],[Quantity]]*Table53[[#This Row],[Price_Per_Unit]]*0.6)</f>
        <v>5600</v>
      </c>
    </row>
    <row r="20" spans="2:10" ht="14.4" hidden="1" x14ac:dyDescent="0.3">
      <c r="B20" s="18">
        <v>1008</v>
      </c>
      <c r="C20" s="13" t="s">
        <v>24</v>
      </c>
      <c r="D20" s="13" t="s">
        <v>15</v>
      </c>
      <c r="E20" s="13">
        <v>3</v>
      </c>
      <c r="F20" s="13">
        <v>4500</v>
      </c>
      <c r="G20" s="13">
        <v>13500</v>
      </c>
      <c r="H20" s="13" t="s">
        <v>74</v>
      </c>
      <c r="I20" s="20">
        <v>45872</v>
      </c>
      <c r="J20" s="33">
        <f>Table53[[#This Row],[Total_Amount]]-(Table53[[#This Row],[Quantity]]*Table53[[#This Row],[Price_Per_Unit]]*0.6)</f>
        <v>5400</v>
      </c>
    </row>
    <row r="21" spans="2:10" ht="14.4" hidden="1" x14ac:dyDescent="0.3">
      <c r="B21" s="18">
        <v>1018</v>
      </c>
      <c r="C21" s="13" t="s">
        <v>41</v>
      </c>
      <c r="D21" s="13" t="s">
        <v>12</v>
      </c>
      <c r="E21" s="13">
        <v>2</v>
      </c>
      <c r="F21" s="13">
        <v>5500</v>
      </c>
      <c r="G21" s="13">
        <v>11000</v>
      </c>
      <c r="H21" s="13" t="s">
        <v>72</v>
      </c>
      <c r="I21" s="22" t="s">
        <v>42</v>
      </c>
      <c r="J21" s="33">
        <f>Table53[[#This Row],[Total_Amount]]-(Table53[[#This Row],[Quantity]]*Table53[[#This Row],[Price_Per_Unit]]*0.6)</f>
        <v>4400</v>
      </c>
    </row>
    <row r="22" spans="2:10" ht="14.4" hidden="1" x14ac:dyDescent="0.3">
      <c r="B22" s="17">
        <v>1017</v>
      </c>
      <c r="C22" s="11" t="s">
        <v>38</v>
      </c>
      <c r="D22" s="11" t="s">
        <v>39</v>
      </c>
      <c r="E22" s="11">
        <v>1</v>
      </c>
      <c r="F22" s="11">
        <v>8000</v>
      </c>
      <c r="G22" s="11">
        <v>8000</v>
      </c>
      <c r="H22" s="11" t="s">
        <v>75</v>
      </c>
      <c r="I22" s="21" t="s">
        <v>40</v>
      </c>
      <c r="J22" s="33">
        <f>Table53[[#This Row],[Total_Amount]]-(Table53[[#This Row],[Quantity]]*Table53[[#This Row],[Price_Per_Unit]]*0.6)</f>
        <v>3200</v>
      </c>
    </row>
    <row r="23" spans="2:10" ht="14.4" hidden="1" x14ac:dyDescent="0.3">
      <c r="B23" s="17">
        <v>1021</v>
      </c>
      <c r="C23" s="11" t="s">
        <v>47</v>
      </c>
      <c r="D23" s="11" t="s">
        <v>15</v>
      </c>
      <c r="E23" s="11">
        <v>2</v>
      </c>
      <c r="F23" s="11">
        <v>4000</v>
      </c>
      <c r="G23" s="11">
        <v>8000</v>
      </c>
      <c r="H23" s="11" t="s">
        <v>75</v>
      </c>
      <c r="I23" s="21" t="s">
        <v>48</v>
      </c>
      <c r="J23" s="33">
        <f>Table53[[#This Row],[Total_Amount]]-(Table53[[#This Row],[Quantity]]*Table53[[#This Row],[Price_Per_Unit]]*0.6)</f>
        <v>3200</v>
      </c>
    </row>
    <row r="24" spans="2:10" ht="14.4" hidden="1" x14ac:dyDescent="0.3">
      <c r="B24" s="17">
        <v>1015</v>
      </c>
      <c r="C24" s="11" t="s">
        <v>34</v>
      </c>
      <c r="D24" s="11" t="s">
        <v>26</v>
      </c>
      <c r="E24" s="11">
        <v>3</v>
      </c>
      <c r="F24" s="11">
        <v>1800</v>
      </c>
      <c r="G24" s="11">
        <v>5400</v>
      </c>
      <c r="H24" s="11" t="s">
        <v>74</v>
      </c>
      <c r="I24" s="21" t="s">
        <v>35</v>
      </c>
      <c r="J24" s="33">
        <f>Table53[[#This Row],[Total_Amount]]-(Table53[[#This Row],[Quantity]]*Table53[[#This Row],[Price_Per_Unit]]*0.6)</f>
        <v>2160</v>
      </c>
    </row>
    <row r="25" spans="2:10" ht="14.4" hidden="1" x14ac:dyDescent="0.3">
      <c r="B25" s="17">
        <v>1005</v>
      </c>
      <c r="C25" s="11" t="s">
        <v>19</v>
      </c>
      <c r="D25" s="11" t="s">
        <v>20</v>
      </c>
      <c r="E25" s="11">
        <v>2</v>
      </c>
      <c r="F25" s="11">
        <v>2500</v>
      </c>
      <c r="G25" s="11">
        <v>5000</v>
      </c>
      <c r="H25" s="11" t="s">
        <v>72</v>
      </c>
      <c r="I25" s="19">
        <v>45780</v>
      </c>
      <c r="J25" s="33">
        <f>Table53[[#This Row],[Total_Amount]]-(Table53[[#This Row],[Quantity]]*Table53[[#This Row],[Price_Per_Unit]]*0.6)</f>
        <v>2000</v>
      </c>
    </row>
    <row r="26" spans="2:10" ht="14.4" hidden="1" x14ac:dyDescent="0.3">
      <c r="B26" s="17">
        <v>1003</v>
      </c>
      <c r="C26" s="11" t="s">
        <v>14</v>
      </c>
      <c r="D26" s="11" t="s">
        <v>15</v>
      </c>
      <c r="E26" s="11">
        <v>1</v>
      </c>
      <c r="F26" s="11">
        <v>3500</v>
      </c>
      <c r="G26" s="11">
        <v>3500</v>
      </c>
      <c r="H26" s="11" t="s">
        <v>74</v>
      </c>
      <c r="I26" s="19">
        <v>45719</v>
      </c>
      <c r="J26" s="33">
        <f>Table53[[#This Row],[Total_Amount]]-(Table53[[#This Row],[Quantity]]*Table53[[#This Row],[Price_Per_Unit]]*0.6)</f>
        <v>1400</v>
      </c>
    </row>
    <row r="27" spans="2:10" ht="14.4" hidden="1" x14ac:dyDescent="0.3">
      <c r="B27" s="18">
        <v>1010</v>
      </c>
      <c r="C27" s="13" t="s">
        <v>27</v>
      </c>
      <c r="D27" s="13" t="s">
        <v>12</v>
      </c>
      <c r="E27" s="13">
        <v>2</v>
      </c>
      <c r="F27" s="13">
        <v>1500</v>
      </c>
      <c r="G27" s="13">
        <v>3000</v>
      </c>
      <c r="H27" s="13" t="s">
        <v>75</v>
      </c>
      <c r="I27" s="20">
        <v>45933</v>
      </c>
      <c r="J27" s="33">
        <f>Table53[[#This Row],[Total_Amount]]-(Table53[[#This Row],[Quantity]]*Table53[[#This Row],[Price_Per_Unit]]*0.6)</f>
        <v>1200</v>
      </c>
    </row>
    <row r="28" spans="2:10" ht="14.4" hidden="1" x14ac:dyDescent="0.3">
      <c r="B28" s="17">
        <v>1023</v>
      </c>
      <c r="C28" s="11" t="s">
        <v>51</v>
      </c>
      <c r="D28" s="11" t="s">
        <v>26</v>
      </c>
      <c r="E28" s="11">
        <v>1</v>
      </c>
      <c r="F28" s="11">
        <v>2500</v>
      </c>
      <c r="G28" s="11">
        <v>2500</v>
      </c>
      <c r="H28" s="11" t="s">
        <v>74</v>
      </c>
      <c r="I28" s="21" t="s">
        <v>52</v>
      </c>
      <c r="J28" s="33">
        <f>Table53[[#This Row],[Total_Amount]]-(Table53[[#This Row],[Quantity]]*Table53[[#This Row],[Price_Per_Unit]]*0.6)</f>
        <v>1000</v>
      </c>
    </row>
    <row r="29" spans="2:10" ht="14.4" hidden="1" x14ac:dyDescent="0.3">
      <c r="B29" s="18">
        <v>1012</v>
      </c>
      <c r="C29" s="13" t="s">
        <v>29</v>
      </c>
      <c r="D29" s="13" t="s">
        <v>15</v>
      </c>
      <c r="E29" s="13">
        <v>1</v>
      </c>
      <c r="F29" s="13">
        <v>2200</v>
      </c>
      <c r="G29" s="13">
        <v>2200</v>
      </c>
      <c r="H29" s="13" t="s">
        <v>73</v>
      </c>
      <c r="I29" s="20">
        <v>45994</v>
      </c>
      <c r="J29" s="33">
        <f>Table53[[#This Row],[Total_Amount]]-(Table53[[#This Row],[Quantity]]*Table53[[#This Row],[Price_Per_Unit]]*0.6)</f>
        <v>880</v>
      </c>
    </row>
    <row r="30" spans="2:10" ht="14.4" hidden="1" x14ac:dyDescent="0.3">
      <c r="B30" s="17">
        <v>1001</v>
      </c>
      <c r="C30" s="11" t="s">
        <v>8</v>
      </c>
      <c r="D30" s="11" t="s">
        <v>9</v>
      </c>
      <c r="E30" s="11">
        <v>3</v>
      </c>
      <c r="F30" s="11">
        <v>500</v>
      </c>
      <c r="G30" s="11">
        <v>1500</v>
      </c>
      <c r="H30" s="11" t="s">
        <v>72</v>
      </c>
      <c r="I30" s="19">
        <v>45660</v>
      </c>
      <c r="J30" s="33">
        <f>Table53[[#This Row],[Total_Amount]]-(Table53[[#This Row],[Quantity]]*Table53[[#This Row],[Price_Per_Unit]]*0.6)</f>
        <v>600</v>
      </c>
    </row>
    <row r="31" spans="2:10" ht="14.4" hidden="1" x14ac:dyDescent="0.3">
      <c r="B31" s="18">
        <v>1026</v>
      </c>
      <c r="C31" s="13" t="s">
        <v>56</v>
      </c>
      <c r="D31" s="13" t="s">
        <v>15</v>
      </c>
      <c r="E31" s="13">
        <v>5</v>
      </c>
      <c r="F31" s="13">
        <v>200</v>
      </c>
      <c r="G31" s="13">
        <v>1000</v>
      </c>
      <c r="H31" s="13" t="s">
        <v>72</v>
      </c>
      <c r="I31" s="22" t="s">
        <v>57</v>
      </c>
      <c r="J31" s="33">
        <f>Table53[[#This Row],[Total_Amount]]-(Table53[[#This Row],[Quantity]]*Table53[[#This Row],[Price_Per_Unit]]*0.6)</f>
        <v>400</v>
      </c>
    </row>
    <row r="32" spans="2:10" ht="14.4" hidden="1" x14ac:dyDescent="0.3">
      <c r="B32" s="18">
        <v>1022</v>
      </c>
      <c r="C32" s="13" t="s">
        <v>49</v>
      </c>
      <c r="D32" s="13" t="s">
        <v>9</v>
      </c>
      <c r="E32" s="13">
        <v>2</v>
      </c>
      <c r="F32" s="13">
        <v>15000</v>
      </c>
      <c r="G32" s="13">
        <v>16400</v>
      </c>
      <c r="H32" s="13" t="s">
        <v>72</v>
      </c>
      <c r="I32" s="22" t="s">
        <v>50</v>
      </c>
      <c r="J32" s="33">
        <f>Table53[[#This Row],[Total_Amount]]-(Table53[[#This Row],[Quantity]]*Table53[[#This Row],[Price_Per_Unit]]*0.6)</f>
        <v>-1600</v>
      </c>
    </row>
    <row r="33" spans="2:10" ht="14.4" hidden="1" x14ac:dyDescent="0.3">
      <c r="B33" s="18">
        <v>1024</v>
      </c>
      <c r="C33" s="13" t="s">
        <v>32</v>
      </c>
      <c r="D33" s="13" t="s">
        <v>12</v>
      </c>
      <c r="E33" s="13">
        <v>3</v>
      </c>
      <c r="F33" s="13">
        <v>12619</v>
      </c>
      <c r="G33" s="13">
        <v>16400</v>
      </c>
      <c r="H33" s="13" t="s">
        <v>73</v>
      </c>
      <c r="I33" s="22" t="s">
        <v>53</v>
      </c>
      <c r="J33" s="33">
        <f>Table53[[#This Row],[Total_Amount]]-(Table53[[#This Row],[Quantity]]*Table53[[#This Row],[Price_Per_Unit]]*0.6)</f>
        <v>-6314.2000000000007</v>
      </c>
    </row>
    <row r="34" spans="2:10" ht="14.4" hidden="1" x14ac:dyDescent="0.3">
      <c r="B34" s="18">
        <v>1004</v>
      </c>
      <c r="C34" s="13" t="s">
        <v>17</v>
      </c>
      <c r="D34" s="13" t="s">
        <v>9</v>
      </c>
      <c r="E34" s="13">
        <v>4</v>
      </c>
      <c r="F34" s="13">
        <v>12619</v>
      </c>
      <c r="G34" s="13">
        <v>16400</v>
      </c>
      <c r="H34" s="13" t="s">
        <v>75</v>
      </c>
      <c r="I34" s="20">
        <v>45750</v>
      </c>
      <c r="J34" s="33">
        <f>Table53[[#This Row],[Total_Amount]]-(Table53[[#This Row],[Quantity]]*Table53[[#This Row],[Price_Per_Unit]]*0.6)</f>
        <v>-13885.599999999999</v>
      </c>
    </row>
    <row r="35" spans="2:10" ht="14.4" hidden="1" x14ac:dyDescent="0.3">
      <c r="B35" s="17">
        <v>1011</v>
      </c>
      <c r="C35" s="11" t="s">
        <v>28</v>
      </c>
      <c r="D35" s="11" t="s">
        <v>9</v>
      </c>
      <c r="E35" s="11">
        <v>5</v>
      </c>
      <c r="F35" s="11">
        <v>12619</v>
      </c>
      <c r="G35" s="11">
        <v>16400</v>
      </c>
      <c r="H35" s="11" t="s">
        <v>74</v>
      </c>
      <c r="I35" s="19">
        <v>45964</v>
      </c>
      <c r="J35" s="33">
        <f>Table53[[#This Row],[Total_Amount]]-(Table53[[#This Row],[Quantity]]*Table53[[#This Row],[Price_Per_Unit]]*0.6)</f>
        <v>-21457</v>
      </c>
    </row>
    <row r="36" spans="2:10" ht="14.4" hidden="1" x14ac:dyDescent="0.3">
      <c r="B36" s="23">
        <v>1028</v>
      </c>
      <c r="C36" s="24" t="s">
        <v>23</v>
      </c>
      <c r="D36" s="24" t="s">
        <v>12</v>
      </c>
      <c r="E36" s="24">
        <v>2</v>
      </c>
      <c r="F36" s="24">
        <v>50000</v>
      </c>
      <c r="G36" s="24">
        <v>16400</v>
      </c>
      <c r="H36" s="24" t="s">
        <v>73</v>
      </c>
      <c r="I36" s="25" t="s">
        <v>60</v>
      </c>
      <c r="J36" s="34">
        <f>Table53[[#This Row],[Total_Amount]]-(Table53[[#This Row],[Quantity]]*Table53[[#This Row],[Price_Per_Unit]]*0.6)</f>
        <v>-43600</v>
      </c>
    </row>
    <row r="40" spans="2:10" x14ac:dyDescent="0.25">
      <c r="C40" s="55" t="s">
        <v>106</v>
      </c>
      <c r="D40" s="37"/>
      <c r="E40" s="37"/>
      <c r="F40" s="37"/>
      <c r="G40" s="37"/>
      <c r="H40" s="37"/>
    </row>
    <row r="41" spans="2:10" x14ac:dyDescent="0.25">
      <c r="C41" s="37"/>
      <c r="D41" s="37"/>
      <c r="E41" s="37"/>
      <c r="F41" s="37"/>
      <c r="G41" s="37"/>
      <c r="H41" s="37"/>
    </row>
    <row r="42" spans="2:10" x14ac:dyDescent="0.25">
      <c r="C42" s="37"/>
      <c r="D42" s="37"/>
      <c r="E42" s="37"/>
      <c r="F42" s="37"/>
      <c r="G42" s="37"/>
      <c r="H42" s="37"/>
    </row>
    <row r="43" spans="2:10" x14ac:dyDescent="0.25">
      <c r="C43" s="37"/>
      <c r="D43" s="37"/>
      <c r="E43" s="37"/>
      <c r="F43" s="37"/>
      <c r="G43" s="37"/>
      <c r="H43" s="37"/>
    </row>
  </sheetData>
  <mergeCells count="2">
    <mergeCell ref="D3:XFD3"/>
    <mergeCell ref="C40:H43"/>
  </mergeCells>
  <conditionalFormatting sqref="E10:G36">
    <cfRule type="containsBlanks" priority="1">
      <formula>LEN(TRIM(E10))=0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Cleaning and Transformatio</vt:lpstr>
      <vt:lpstr>Pivot Table for Total_Amount by</vt:lpstr>
      <vt:lpstr>VLOOKUP and INDEX   MATCH opera</vt:lpstr>
      <vt:lpstr> Line Chart for Revenue Trend(T</vt:lpstr>
      <vt:lpstr>Profit Margin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Saini</dc:creator>
  <cp:lastModifiedBy>Ashish Saini</cp:lastModifiedBy>
  <dcterms:created xsi:type="dcterms:W3CDTF">2026-06-19T19:23:24Z</dcterms:created>
  <dcterms:modified xsi:type="dcterms:W3CDTF">2026-06-22T14:04:45Z</dcterms:modified>
</cp:coreProperties>
</file>